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group_RS_Leaderboard" sheetId="1" state="visible" r:id="rId1"/>
    <sheet xmlns:r="http://schemas.openxmlformats.org/officeDocument/2006/relationships" name="Top_and_Last_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" fontId="1" fillId="3" borderId="2" pivotButton="0" quotePrefix="0" xfId="0"/>
    <xf numFmtId="164" fontId="0" fillId="0" borderId="2" pivotButton="0" quotePrefix="0" xfId="0"/>
    <xf numFmtId="10" fontId="0" fillId="0" borderId="2" pivotButton="0" quotePrefix="0" xfId="0"/>
    <xf numFmtId="1" fontId="1" fillId="0" borderId="2" pivotButton="0" quotePrefix="0" xfId="0"/>
    <xf numFmtId="1" fontId="1" fillId="4" borderId="2" pivotButton="0" quotePrefix="0" xfId="0"/>
    <xf numFmtId="0" fontId="3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42" customWidth="1" min="4" max="4"/>
    <col width="25" customWidth="1" min="5" max="5"/>
    <col width="15" customWidth="1" min="6" max="6"/>
    <col width="25" customWidth="1" min="7" max="7"/>
    <col width="25" customWidth="1" min="8" max="8"/>
    <col width="25" customWidth="1" min="9" max="9"/>
    <col width="25" customWidth="1" min="10" max="10"/>
    <col width="24" customWidth="1" min="11" max="11"/>
    <col width="24" customWidth="1" min="12" max="12"/>
    <col width="24" customWidth="1" min="13" max="13"/>
    <col width="23" customWidth="1" min="14" max="14"/>
    <col width="23" customWidth="1" min="15" max="15"/>
    <col width="23" customWidth="1" min="16" max="16"/>
  </cols>
  <sheetData>
    <row r="1">
      <c r="A1" s="2" t="inlineStr">
        <is>
          <t>IBD_Rank</t>
        </is>
      </c>
      <c r="B1" s="2" t="inlineStr">
        <is>
          <t>IBD_RS_Rating</t>
        </is>
      </c>
      <c r="C1" s="2" t="inlineStr">
        <is>
          <t>Ticker</t>
        </is>
      </c>
      <c r="D1" s="2" t="inlineStr">
        <is>
          <t>Subgroup Name</t>
        </is>
      </c>
      <c r="E1" s="2" t="inlineStr">
        <is>
          <t>Sector</t>
        </is>
      </c>
      <c r="F1" s="2" t="inlineStr">
        <is>
          <t>Latest Price</t>
        </is>
      </c>
      <c r="G1" s="2" t="inlineStr">
        <is>
          <t>1D</t>
        </is>
      </c>
      <c r="H1" s="2" t="inlineStr">
        <is>
          <t>1W</t>
        </is>
      </c>
      <c r="I1" s="2" t="inlineStr">
        <is>
          <t>2W</t>
        </is>
      </c>
      <c r="J1" s="2" t="inlineStr">
        <is>
          <t>1M</t>
        </is>
      </c>
      <c r="K1" s="2" t="inlineStr">
        <is>
          <t>3M</t>
        </is>
      </c>
      <c r="L1" s="2" t="inlineStr">
        <is>
          <t>6M</t>
        </is>
      </c>
      <c r="M1" s="2" t="inlineStr">
        <is>
          <t>9M</t>
        </is>
      </c>
      <c r="N1" s="2" t="inlineStr">
        <is>
          <t>1Y</t>
        </is>
      </c>
      <c r="O1" s="2" t="inlineStr">
        <is>
          <t>3Y</t>
        </is>
      </c>
      <c r="P1" s="2" t="inlineStr">
        <is>
          <t>3Y (Ann.)</t>
        </is>
      </c>
    </row>
    <row r="2">
      <c r="A2" s="3" t="n">
        <v>1</v>
      </c>
      <c r="B2" s="4" t="n">
        <v>99</v>
      </c>
      <c r="C2" s="3" t="inlineStr">
        <is>
          <t>IDNA</t>
        </is>
      </c>
      <c r="D2" s="3" t="inlineStr">
        <is>
          <t>Genomics &amp; Immunology</t>
        </is>
      </c>
      <c r="E2" s="3" t="inlineStr">
        <is>
          <t>Health Care</t>
        </is>
      </c>
      <c r="F2" s="5" t="n">
        <v>41.28</v>
      </c>
      <c r="G2" s="6" t="n">
        <v>0.01201269558155382</v>
      </c>
      <c r="H2" s="6" t="n">
        <v>0.00978467956777096</v>
      </c>
      <c r="I2" s="6" t="n">
        <v>-0.02457469099780119</v>
      </c>
      <c r="J2" s="6" t="n">
        <v>0.06556522949873567</v>
      </c>
      <c r="K2" s="6" t="n">
        <v>0.2577696271522762</v>
      </c>
      <c r="L2" s="6" t="n">
        <v>0.3441652711660179</v>
      </c>
      <c r="M2" s="6" t="n">
        <v>0.4519810444040657</v>
      </c>
      <c r="N2" s="6" t="n">
        <v>0.7202125335128795</v>
      </c>
      <c r="O2" s="6" t="n">
        <v>1.21083739575125</v>
      </c>
      <c r="P2" s="6" t="n">
        <v>0.3027235594127387</v>
      </c>
    </row>
    <row r="3">
      <c r="A3" s="3" t="n">
        <v>2</v>
      </c>
      <c r="B3" s="4" t="n">
        <v>97</v>
      </c>
      <c r="C3" s="3" t="inlineStr">
        <is>
          <t>HACK</t>
        </is>
      </c>
      <c r="D3" s="3" t="inlineStr">
        <is>
          <t>Cybersecurity</t>
        </is>
      </c>
      <c r="E3" s="3" t="inlineStr">
        <is>
          <t>Technology</t>
        </is>
      </c>
      <c r="F3" s="5" t="n">
        <v>122.37</v>
      </c>
      <c r="G3" s="6" t="n">
        <v>-0.03713898597305554</v>
      </c>
      <c r="H3" s="6" t="n">
        <v>-0.02734277782979533</v>
      </c>
      <c r="I3" s="6" t="n">
        <v>0.009320396756210991</v>
      </c>
      <c r="J3" s="6" t="n">
        <v>0.03213567195044287</v>
      </c>
      <c r="K3" s="6" t="n">
        <v>0.07069736430422013</v>
      </c>
      <c r="L3" s="6" t="n">
        <v>0.6653510772469931</v>
      </c>
      <c r="M3" s="6" t="n">
        <v>0.5275246762483454</v>
      </c>
      <c r="N3" s="6" t="n">
        <v>0.4158891065489307</v>
      </c>
      <c r="O3" s="6" t="n">
        <v>1.336137479405858</v>
      </c>
      <c r="P3" s="6" t="n">
        <v>0.3268835164831743</v>
      </c>
    </row>
    <row r="4">
      <c r="A4" s="3" t="n">
        <v>3</v>
      </c>
      <c r="B4" s="4" t="n">
        <v>96</v>
      </c>
      <c r="C4" s="3" t="inlineStr">
        <is>
          <t>XOP</t>
        </is>
      </c>
      <c r="D4" s="3" t="inlineStr">
        <is>
          <t>Oil &amp; Gas Exploration &amp; Production</t>
        </is>
      </c>
      <c r="E4" s="3" t="inlineStr">
        <is>
          <t>Energy</t>
        </is>
      </c>
      <c r="F4" s="5" t="n">
        <v>197.84</v>
      </c>
      <c r="G4" s="6" t="n">
        <v>-0.009908972644142922</v>
      </c>
      <c r="H4" s="6" t="n">
        <v>0.05099867490747179</v>
      </c>
      <c r="I4" s="6" t="n">
        <v>0.103217500238884</v>
      </c>
      <c r="J4" s="6" t="n">
        <v>0.0266648032151664</v>
      </c>
      <c r="K4" s="6" t="n">
        <v>0.1976414144493155</v>
      </c>
      <c r="L4" s="6" t="n">
        <v>0.2214073420232814</v>
      </c>
      <c r="M4" s="6" t="n">
        <v>0.518906965961065</v>
      </c>
      <c r="N4" s="6" t="n">
        <v>0.6003458501377785</v>
      </c>
      <c r="O4" s="6" t="n">
        <v>0.4277434082869767</v>
      </c>
      <c r="P4" s="6" t="n">
        <v>0.1260302419683283</v>
      </c>
    </row>
    <row r="5">
      <c r="A5" s="3" t="n">
        <v>4</v>
      </c>
      <c r="B5" s="4" t="n">
        <v>94</v>
      </c>
      <c r="C5" s="3" t="inlineStr">
        <is>
          <t>CIBR</t>
        </is>
      </c>
      <c r="D5" s="3" t="inlineStr">
        <is>
          <t>Cybersecurity Leaders</t>
        </is>
      </c>
      <c r="E5" s="3" t="inlineStr">
        <is>
          <t>Technology</t>
        </is>
      </c>
      <c r="F5" s="5" t="n">
        <v>103.74</v>
      </c>
      <c r="G5" s="6" t="n">
        <v>-0.03470739103532305</v>
      </c>
      <c r="H5" s="6" t="n">
        <v>-0.02655533301265578</v>
      </c>
      <c r="I5" s="6" t="n">
        <v>0.006305185265003344</v>
      </c>
      <c r="J5" s="6" t="n">
        <v>0.036911394899376</v>
      </c>
      <c r="K5" s="6" t="n">
        <v>0.09514393940187138</v>
      </c>
      <c r="L5" s="6" t="n">
        <v>0.6536423396079329</v>
      </c>
      <c r="M5" s="6" t="n">
        <v>0.4362435623430525</v>
      </c>
      <c r="N5" s="6" t="n">
        <v>0.3745271003768842</v>
      </c>
      <c r="O5" s="6" t="n">
        <v>1.282290557212443</v>
      </c>
      <c r="P5" s="6" t="n">
        <v>0.3166094799334944</v>
      </c>
    </row>
    <row r="6">
      <c r="A6" s="3" t="n">
        <v>5</v>
      </c>
      <c r="B6" s="4" t="n">
        <v>93</v>
      </c>
      <c r="C6" s="3" t="inlineStr">
        <is>
          <t>CLOU</t>
        </is>
      </c>
      <c r="D6" s="3" t="inlineStr">
        <is>
          <t>Cloud Computing &amp; SaaS</t>
        </is>
      </c>
      <c r="E6" s="3" t="inlineStr">
        <is>
          <t>Technology</t>
        </is>
      </c>
      <c r="F6" s="5" t="n">
        <v>28.88</v>
      </c>
      <c r="G6" s="6" t="n">
        <v>-0.02924372568851763</v>
      </c>
      <c r="H6" s="6" t="n">
        <v>0.003126024396571614</v>
      </c>
      <c r="I6" s="6" t="n">
        <v>0.01475755761788089</v>
      </c>
      <c r="J6" s="6" t="n">
        <v>0.01869484205168814</v>
      </c>
      <c r="K6" s="6" t="n">
        <v>0.1904368873988962</v>
      </c>
      <c r="L6" s="6" t="n">
        <v>0.5885587830570371</v>
      </c>
      <c r="M6" s="6" t="n">
        <v>0.3193238906358153</v>
      </c>
      <c r="N6" s="6" t="n">
        <v>0.2507578592427933</v>
      </c>
      <c r="O6" s="6" t="n">
        <v>0.5678609685748264</v>
      </c>
      <c r="P6" s="6" t="n">
        <v>0.1617228088033114</v>
      </c>
    </row>
    <row r="7">
      <c r="A7" s="3" t="n">
        <v>6</v>
      </c>
      <c r="B7" s="4" t="n">
        <v>91</v>
      </c>
      <c r="C7" s="3" t="inlineStr">
        <is>
          <t>SMH</t>
        </is>
      </c>
      <c r="D7" s="3" t="inlineStr">
        <is>
          <t>Semiconductor Manufacturers</t>
        </is>
      </c>
      <c r="E7" s="3" t="inlineStr">
        <is>
          <t>Technology</t>
        </is>
      </c>
      <c r="F7" s="5" t="n">
        <v>564.74</v>
      </c>
      <c r="G7" s="6" t="n">
        <v>-0.03975380037564247</v>
      </c>
      <c r="H7" s="6" t="n">
        <v>-0.09645942792592388</v>
      </c>
      <c r="I7" s="6" t="n">
        <v>-0.07267653491892445</v>
      </c>
      <c r="J7" s="6" t="n">
        <v>0.04291780283356417</v>
      </c>
      <c r="K7" s="6" t="n">
        <v>-0.05925273186999835</v>
      </c>
      <c r="L7" s="6" t="n">
        <v>0.2494247571556969</v>
      </c>
      <c r="M7" s="6" t="n">
        <v>0.4542036342439046</v>
      </c>
      <c r="N7" s="6" t="n">
        <v>0.6986423088185214</v>
      </c>
      <c r="O7" s="6" t="n">
        <v>2.857917863879214</v>
      </c>
      <c r="P7" s="6" t="n">
        <v>0.5683789052298391</v>
      </c>
    </row>
    <row r="8">
      <c r="A8" s="3" t="n">
        <v>7</v>
      </c>
      <c r="B8" s="4" t="n">
        <v>89</v>
      </c>
      <c r="C8" s="3" t="inlineStr">
        <is>
          <t>NXTG</t>
        </is>
      </c>
      <c r="D8" s="3" t="inlineStr">
        <is>
          <t>NextGen 5G &amp; Telecom Infrastructure</t>
        </is>
      </c>
      <c r="E8" s="3" t="inlineStr">
        <is>
          <t>Communication</t>
        </is>
      </c>
      <c r="F8" s="5" t="n">
        <v>150</v>
      </c>
      <c r="G8" s="6" t="n">
        <v>-0.02243680391223257</v>
      </c>
      <c r="H8" s="6" t="n">
        <v>-0.04715219832897743</v>
      </c>
      <c r="I8" s="6" t="n">
        <v>-0.02567520514622124</v>
      </c>
      <c r="J8" s="6" t="n">
        <v>-0.01164453390495113</v>
      </c>
      <c r="K8" s="6" t="n">
        <v>0.008474688423783627</v>
      </c>
      <c r="L8" s="6" t="n">
        <v>0.2237687600086422</v>
      </c>
      <c r="M8" s="6" t="n">
        <v>0.3706129268454386</v>
      </c>
      <c r="N8" s="6" t="n">
        <v>0.4430317423816661</v>
      </c>
      <c r="O8" s="6" t="n">
        <v>1.332149096627072</v>
      </c>
      <c r="P8" s="6" t="n">
        <v>0.3261279767744227</v>
      </c>
    </row>
    <row r="9">
      <c r="A9" s="3" t="n">
        <v>8</v>
      </c>
      <c r="B9" s="4" t="n">
        <v>88</v>
      </c>
      <c r="C9" s="3" t="inlineStr">
        <is>
          <t>FCG</t>
        </is>
      </c>
      <c r="D9" s="3" t="inlineStr">
        <is>
          <t>Natural Gas Producers</t>
        </is>
      </c>
      <c r="E9" s="3" t="inlineStr">
        <is>
          <t>Energy</t>
        </is>
      </c>
      <c r="F9" s="5" t="n">
        <v>30.49</v>
      </c>
      <c r="G9" s="6" t="n">
        <v>-0.0126295142567211</v>
      </c>
      <c r="H9" s="6" t="n">
        <v>0.03636980598400474</v>
      </c>
      <c r="I9" s="6" t="n">
        <v>0.06907430861622665</v>
      </c>
      <c r="J9" s="6" t="n">
        <v>-0.03184214007186348</v>
      </c>
      <c r="K9" s="6" t="n">
        <v>0.1144010176991705</v>
      </c>
      <c r="L9" s="6" t="n">
        <v>0.06545945342480142</v>
      </c>
      <c r="M9" s="6" t="n">
        <v>0.2941593976391801</v>
      </c>
      <c r="N9" s="6" t="n">
        <v>0.3993891218839369</v>
      </c>
      <c r="O9" s="6" t="n">
        <v>0.2359455862154014</v>
      </c>
      <c r="P9" s="6" t="n">
        <v>0.07316487662074511</v>
      </c>
    </row>
    <row r="10">
      <c r="A10" s="3" t="n">
        <v>9</v>
      </c>
      <c r="B10" s="4" t="n">
        <v>86</v>
      </c>
      <c r="C10" s="3" t="inlineStr">
        <is>
          <t>BDRY</t>
        </is>
      </c>
      <c r="D10" s="3" t="inlineStr">
        <is>
          <t>Dry Bulk Shipping &amp; Maritime Freight</t>
        </is>
      </c>
      <c r="E10" s="3" t="inlineStr">
        <is>
          <t>Industrials</t>
        </is>
      </c>
      <c r="F10" s="5" t="n">
        <v>12.58</v>
      </c>
      <c r="G10" s="6" t="n">
        <v>-0.04115853403683289</v>
      </c>
      <c r="H10" s="6" t="n">
        <v>-0.128205151929634</v>
      </c>
      <c r="I10" s="6" t="n">
        <v>-0.1353952055810462</v>
      </c>
      <c r="J10" s="6" t="n">
        <v>-0.1777777930144043</v>
      </c>
      <c r="K10" s="6" t="n">
        <v>-0.0396946902764389</v>
      </c>
      <c r="L10" s="6" t="n">
        <v>0.1015761680965379</v>
      </c>
      <c r="M10" s="6" t="n">
        <v>0.3915929177866273</v>
      </c>
      <c r="N10" s="6" t="n">
        <v>0.5341463678440552</v>
      </c>
      <c r="O10" s="6" t="n">
        <v>1.143100539857657</v>
      </c>
      <c r="P10" s="6" t="n">
        <v>0.2892808001278242</v>
      </c>
    </row>
    <row r="11">
      <c r="A11" s="3" t="n">
        <v>10</v>
      </c>
      <c r="B11" s="4" t="n">
        <v>85</v>
      </c>
      <c r="C11" s="3" t="inlineStr">
        <is>
          <t>IBB</t>
        </is>
      </c>
      <c r="D11" s="3" t="inlineStr">
        <is>
          <t>Biotechnology (Market Weight)</t>
        </is>
      </c>
      <c r="E11" s="3" t="inlineStr">
        <is>
          <t>Health Care</t>
        </is>
      </c>
      <c r="F11" s="5" t="n">
        <v>203.25</v>
      </c>
      <c r="G11" s="6" t="n">
        <v>0.01614836345638349</v>
      </c>
      <c r="H11" s="6" t="n">
        <v>-0.0004425904372550304</v>
      </c>
      <c r="I11" s="6" t="n">
        <v>-0.03457938926285109</v>
      </c>
      <c r="J11" s="6" t="n">
        <v>-0.006544850832845728</v>
      </c>
      <c r="K11" s="6" t="n">
        <v>0.07733573859358911</v>
      </c>
      <c r="L11" s="6" t="n">
        <v>0.1560392721362274</v>
      </c>
      <c r="M11" s="6" t="n">
        <v>0.1770987602553915</v>
      </c>
      <c r="N11" s="6" t="n">
        <v>0.3458764788135118</v>
      </c>
      <c r="O11" s="6" t="n">
        <v>0.6830816781320741</v>
      </c>
      <c r="P11" s="6" t="n">
        <v>0.189510821732136</v>
      </c>
    </row>
    <row r="12">
      <c r="A12" s="3" t="n">
        <v>11</v>
      </c>
      <c r="B12" s="4" t="n">
        <v>83</v>
      </c>
      <c r="C12" s="3" t="inlineStr">
        <is>
          <t>XSD</t>
        </is>
      </c>
      <c r="D12" s="3" t="inlineStr">
        <is>
          <t>Semiconductors - Equal Weight</t>
        </is>
      </c>
      <c r="E12" s="3" t="inlineStr">
        <is>
          <t>Technology</t>
        </is>
      </c>
      <c r="F12" s="5" t="n">
        <v>482.7</v>
      </c>
      <c r="G12" s="6" t="n">
        <v>-0.05312092792402701</v>
      </c>
      <c r="H12" s="6" t="n">
        <v>-0.119770947319308</v>
      </c>
      <c r="I12" s="6" t="n">
        <v>-0.08859178909922838</v>
      </c>
      <c r="J12" s="6" t="n">
        <v>0.01739365910450452</v>
      </c>
      <c r="K12" s="6" t="n">
        <v>-0.1174393661723648</v>
      </c>
      <c r="L12" s="6" t="n">
        <v>0.24158804065051</v>
      </c>
      <c r="M12" s="6" t="n">
        <v>0.3772993754610159</v>
      </c>
      <c r="N12" s="6" t="n">
        <v>0.4247774369918631</v>
      </c>
      <c r="O12" s="6" t="n">
        <v>1.599905929352007</v>
      </c>
      <c r="P12" s="6" t="n">
        <v>0.3750522830767766</v>
      </c>
    </row>
    <row r="13">
      <c r="A13" s="3" t="n">
        <v>12</v>
      </c>
      <c r="B13" s="4" t="n">
        <v>81</v>
      </c>
      <c r="C13" s="3" t="inlineStr">
        <is>
          <t>IHF</t>
        </is>
      </c>
      <c r="D13" s="3" t="inlineStr">
        <is>
          <t>Health Care Providers &amp; Managed Care</t>
        </is>
      </c>
      <c r="E13" s="3" t="inlineStr">
        <is>
          <t>Health Care</t>
        </is>
      </c>
      <c r="F13" s="5" t="n">
        <v>58.37</v>
      </c>
      <c r="G13" s="6" t="n">
        <v>0.0206329836249497</v>
      </c>
      <c r="H13" s="6" t="n">
        <v>0.04306647403217734</v>
      </c>
      <c r="I13" s="6" t="n">
        <v>0.06339951869069638</v>
      </c>
      <c r="J13" s="6" t="n">
        <v>0.01534233205889213</v>
      </c>
      <c r="K13" s="6" t="n">
        <v>0.02602632337547206</v>
      </c>
      <c r="L13" s="6" t="n">
        <v>0.3094292785071284</v>
      </c>
      <c r="M13" s="6" t="n">
        <v>0.2022846901324675</v>
      </c>
      <c r="N13" s="6" t="n">
        <v>0.1757793079494905</v>
      </c>
      <c r="O13" s="6" t="n">
        <v>0.1932138612749579</v>
      </c>
      <c r="P13" s="6" t="n">
        <v>0.06065162890291353</v>
      </c>
    </row>
    <row r="14">
      <c r="A14" s="3" t="n">
        <v>13</v>
      </c>
      <c r="B14" s="4" t="n">
        <v>80</v>
      </c>
      <c r="C14" s="3" t="inlineStr">
        <is>
          <t>OIH</t>
        </is>
      </c>
      <c r="D14" s="3" t="inlineStr">
        <is>
          <t>Oil Services &amp; Equipment</t>
        </is>
      </c>
      <c r="E14" s="3" t="inlineStr">
        <is>
          <t>Energy</t>
        </is>
      </c>
      <c r="F14" s="5" t="n">
        <v>382.36</v>
      </c>
      <c r="G14" s="6" t="n">
        <v>-0.0207949841382532</v>
      </c>
      <c r="H14" s="6" t="n">
        <v>0.00214912404538592</v>
      </c>
      <c r="I14" s="6" t="n">
        <v>0.0105452078279602</v>
      </c>
      <c r="J14" s="6" t="n">
        <v>-0.04899769269923526</v>
      </c>
      <c r="K14" s="6" t="n">
        <v>-0.007913697832350075</v>
      </c>
      <c r="L14" s="6" t="n">
        <v>-0.05074479409346955</v>
      </c>
      <c r="M14" s="6" t="n">
        <v>0.1728473786018061</v>
      </c>
      <c r="N14" s="6" t="n">
        <v>0.5634283820435435</v>
      </c>
      <c r="O14" s="6" t="n">
        <v>0.1670249784998927</v>
      </c>
      <c r="P14" s="6" t="n">
        <v>0.05283436126315388</v>
      </c>
    </row>
    <row r="15">
      <c r="A15" s="3" t="n">
        <v>14</v>
      </c>
      <c r="B15" s="7" t="n">
        <v>78</v>
      </c>
      <c r="C15" s="3" t="inlineStr">
        <is>
          <t>IGV</t>
        </is>
      </c>
      <c r="D15" s="3" t="inlineStr">
        <is>
          <t>Software &amp; Cloud Applications</t>
        </is>
      </c>
      <c r="E15" s="3" t="inlineStr">
        <is>
          <t>Technology</t>
        </is>
      </c>
      <c r="F15" s="5" t="n">
        <v>107.65</v>
      </c>
      <c r="G15" s="6" t="n">
        <v>-0.03000542197088196</v>
      </c>
      <c r="H15" s="6" t="n">
        <v>-0.0199380452023582</v>
      </c>
      <c r="I15" s="6" t="n">
        <v>0.01098796142054326</v>
      </c>
      <c r="J15" s="6" t="n">
        <v>0.009471137865821433</v>
      </c>
      <c r="K15" s="6" t="n">
        <v>0.1497383817550966</v>
      </c>
      <c r="L15" s="6" t="n">
        <v>0.3546827130327921</v>
      </c>
      <c r="M15" s="6" t="n">
        <v>0.06530308425149367</v>
      </c>
      <c r="N15" s="6" t="n">
        <v>-0.05211560078859701</v>
      </c>
      <c r="O15" s="6" t="n">
        <v>0.5413160812501023</v>
      </c>
      <c r="P15" s="6" t="n">
        <v>0.1551292200645866</v>
      </c>
    </row>
    <row r="16">
      <c r="A16" s="3" t="n">
        <v>15</v>
      </c>
      <c r="B16" s="7" t="n">
        <v>77</v>
      </c>
      <c r="C16" s="3" t="inlineStr">
        <is>
          <t>SLX</t>
        </is>
      </c>
      <c r="D16" s="3" t="inlineStr">
        <is>
          <t>Steel Industry</t>
        </is>
      </c>
      <c r="E16" s="3" t="inlineStr">
        <is>
          <t>Materials</t>
        </is>
      </c>
      <c r="F16" s="5" t="n">
        <v>102.46</v>
      </c>
      <c r="G16" s="6" t="n">
        <v>-0.005532366316389314</v>
      </c>
      <c r="H16" s="6" t="n">
        <v>0.0002928710261398404</v>
      </c>
      <c r="I16" s="6" t="n">
        <v>0.00195576905988859</v>
      </c>
      <c r="J16" s="6" t="n">
        <v>-0.03439828013272894</v>
      </c>
      <c r="K16" s="6" t="n">
        <v>0.01195060824170535</v>
      </c>
      <c r="L16" s="6" t="n">
        <v>0.02357643003323018</v>
      </c>
      <c r="M16" s="6" t="n">
        <v>0.1244512291053019</v>
      </c>
      <c r="N16" s="6" t="n">
        <v>0.3938297030335971</v>
      </c>
      <c r="O16" s="6" t="n">
        <v>0.7703712389552313</v>
      </c>
      <c r="P16" s="6" t="n">
        <v>0.2097290650712154</v>
      </c>
    </row>
    <row r="17">
      <c r="A17" s="3" t="n">
        <v>16</v>
      </c>
      <c r="B17" s="7" t="n">
        <v>75</v>
      </c>
      <c r="C17" s="3" t="inlineStr">
        <is>
          <t>XBI</t>
        </is>
      </c>
      <c r="D17" s="3" t="inlineStr">
        <is>
          <t>Biotechnology (Equal Weight)</t>
        </is>
      </c>
      <c r="E17" s="3" t="inlineStr">
        <is>
          <t>Health Care</t>
        </is>
      </c>
      <c r="F17" s="5" t="n">
        <v>146.77</v>
      </c>
      <c r="G17" s="6" t="n">
        <v>-0.0002043513533599439</v>
      </c>
      <c r="H17" s="6" t="n">
        <v>-0.02303129570311147</v>
      </c>
      <c r="I17" s="6" t="n">
        <v>-0.06919069577681447</v>
      </c>
      <c r="J17" s="6" t="n">
        <v>-0.06871828306872829</v>
      </c>
      <c r="K17" s="6" t="n">
        <v>-0.05583784397674385</v>
      </c>
      <c r="L17" s="6" t="n">
        <v>0.08247924812366847</v>
      </c>
      <c r="M17" s="6" t="n">
        <v>0.15844564546481</v>
      </c>
      <c r="N17" s="6" t="n">
        <v>0.402207969887874</v>
      </c>
      <c r="O17" s="6" t="n">
        <v>1.122087931664963</v>
      </c>
      <c r="P17" s="6" t="n">
        <v>0.2850532525312379</v>
      </c>
    </row>
    <row r="18">
      <c r="A18" s="3" t="n">
        <v>17</v>
      </c>
      <c r="B18" s="7" t="n">
        <v>73</v>
      </c>
      <c r="C18" s="3" t="inlineStr">
        <is>
          <t>GGME</t>
        </is>
      </c>
      <c r="D18" s="3" t="inlineStr">
        <is>
          <t>Next-Gen Media &amp; Gaming</t>
        </is>
      </c>
      <c r="E18" s="3" t="inlineStr">
        <is>
          <t>Technology</t>
        </is>
      </c>
      <c r="F18" s="5" t="n">
        <v>64.98999999999999</v>
      </c>
      <c r="G18" s="6" t="n">
        <v>-0.0232943046352756</v>
      </c>
      <c r="H18" s="6" t="n">
        <v>-0.02123499442330334</v>
      </c>
      <c r="I18" s="6" t="n">
        <v>-0.009600805492884779</v>
      </c>
      <c r="J18" s="6" t="n">
        <v>-0.008477395474438931</v>
      </c>
      <c r="K18" s="6" t="n">
        <v>0.0440514747293006</v>
      </c>
      <c r="L18" s="6" t="n">
        <v>0.2069107737977676</v>
      </c>
      <c r="M18" s="6" t="n">
        <v>0.127021667964798</v>
      </c>
      <c r="N18" s="6" t="n">
        <v>0.0196021940247173</v>
      </c>
      <c r="O18" s="6" t="n">
        <v>0.9775192865360054</v>
      </c>
      <c r="P18" s="6" t="n">
        <v>0.2551825973128723</v>
      </c>
    </row>
    <row r="19">
      <c r="A19" s="3" t="n">
        <v>18</v>
      </c>
      <c r="B19" s="7" t="n">
        <v>72</v>
      </c>
      <c r="C19" s="3" t="inlineStr">
        <is>
          <t>IYK</t>
        </is>
      </c>
      <c r="D19" s="3" t="inlineStr">
        <is>
          <t>Consumer Staples Products</t>
        </is>
      </c>
      <c r="E19" s="3" t="inlineStr">
        <is>
          <t>Consumer Staples</t>
        </is>
      </c>
      <c r="F19" s="5" t="n">
        <v>75.77</v>
      </c>
      <c r="G19" s="6" t="n">
        <v>0.0195101850672259</v>
      </c>
      <c r="H19" s="6" t="n">
        <v>0.05397130736346423</v>
      </c>
      <c r="I19" s="6" t="n">
        <v>0.0712567941033293</v>
      </c>
      <c r="J19" s="6" t="n">
        <v>0.02443112460516184</v>
      </c>
      <c r="K19" s="6" t="n">
        <v>0.04279213866928067</v>
      </c>
      <c r="L19" s="6" t="n">
        <v>0.09625731609977417</v>
      </c>
      <c r="M19" s="6" t="n">
        <v>0.1097482905954732</v>
      </c>
      <c r="N19" s="6" t="n">
        <v>0.132061975828629</v>
      </c>
      <c r="O19" s="6" t="n">
        <v>0.3613858841336908</v>
      </c>
      <c r="P19" s="6" t="n">
        <v>0.1083078630246772</v>
      </c>
    </row>
    <row r="20">
      <c r="A20" s="3" t="n">
        <v>19</v>
      </c>
      <c r="B20" s="7" t="n">
        <v>70</v>
      </c>
      <c r="C20" s="3" t="inlineStr">
        <is>
          <t>AMLP</t>
        </is>
      </c>
      <c r="D20" s="3" t="inlineStr">
        <is>
          <t>Midstream Energy &amp; MLPs</t>
        </is>
      </c>
      <c r="E20" s="3" t="inlineStr">
        <is>
          <t>Energy</t>
        </is>
      </c>
      <c r="F20" s="5" t="n">
        <v>52.38</v>
      </c>
      <c r="G20" s="6" t="n">
        <v>-0.006260634074923277</v>
      </c>
      <c r="H20" s="6" t="n">
        <v>0.0003819797083752796</v>
      </c>
      <c r="I20" s="6" t="n">
        <v>0.009832314376952311</v>
      </c>
      <c r="J20" s="6" t="n">
        <v>-0.05587596430603969</v>
      </c>
      <c r="K20" s="6" t="n">
        <v>-0.00830143192514543</v>
      </c>
      <c r="L20" s="6" t="n">
        <v>0.05547404195944816</v>
      </c>
      <c r="M20" s="6" t="n">
        <v>0.1299753186471932</v>
      </c>
      <c r="N20" s="6" t="n">
        <v>0.2513527969133711</v>
      </c>
      <c r="O20" s="6" t="n">
        <v>0.5703369228603361</v>
      </c>
      <c r="P20" s="6" t="n">
        <v>0.1623340151615926</v>
      </c>
    </row>
    <row r="21">
      <c r="A21" s="3" t="n">
        <v>20</v>
      </c>
      <c r="B21" s="7" t="n">
        <v>68</v>
      </c>
      <c r="C21" s="3" t="inlineStr">
        <is>
          <t>FDN</t>
        </is>
      </c>
      <c r="D21" s="3" t="inlineStr">
        <is>
          <t>Internet &amp; Digital Services</t>
        </is>
      </c>
      <c r="E21" s="3" t="inlineStr">
        <is>
          <t>Technology</t>
        </is>
      </c>
      <c r="F21" s="5" t="n">
        <v>291</v>
      </c>
      <c r="G21" s="6" t="n">
        <v>-0.02812107758376869</v>
      </c>
      <c r="H21" s="6" t="n">
        <v>-0.01522842639593913</v>
      </c>
      <c r="I21" s="6" t="n">
        <v>0.008840310920626759</v>
      </c>
      <c r="J21" s="6" t="n">
        <v>-0.005841930596826139</v>
      </c>
      <c r="K21" s="6" t="n">
        <v>0.05656809894954695</v>
      </c>
      <c r="L21" s="6" t="n">
        <v>0.1487900312054919</v>
      </c>
      <c r="M21" s="6" t="n">
        <v>0.1037360392060314</v>
      </c>
      <c r="N21" s="6" t="n">
        <v>0.04435825689701178</v>
      </c>
      <c r="O21" s="6" t="n">
        <v>0.839211210686823</v>
      </c>
      <c r="P21" s="6" t="n">
        <v>0.225210006630532</v>
      </c>
    </row>
    <row r="22">
      <c r="A22" s="3" t="n">
        <v>21</v>
      </c>
      <c r="B22" s="7" t="n">
        <v>67</v>
      </c>
      <c r="C22" s="3" t="inlineStr">
        <is>
          <t>XPH</t>
        </is>
      </c>
      <c r="D22" s="3" t="inlineStr">
        <is>
          <t>Pharmaceuticals</t>
        </is>
      </c>
      <c r="E22" s="3" t="inlineStr">
        <is>
          <t>Health Care</t>
        </is>
      </c>
      <c r="F22" s="5" t="n">
        <v>62.07</v>
      </c>
      <c r="G22" s="6" t="n">
        <v>-0.0004830721422541817</v>
      </c>
      <c r="H22" s="6" t="n">
        <v>-0.01335241066007486</v>
      </c>
      <c r="I22" s="6" t="n">
        <v>-0.04507692777193506</v>
      </c>
      <c r="J22" s="6" t="n">
        <v>-0.08528766764426954</v>
      </c>
      <c r="K22" s="6" t="n">
        <v>-0.07520898805800391</v>
      </c>
      <c r="L22" s="6" t="n">
        <v>0.08554322767964506</v>
      </c>
      <c r="M22" s="6" t="n">
        <v>0.0948298484099368</v>
      </c>
      <c r="N22" s="6" t="n">
        <v>0.316581293844499</v>
      </c>
      <c r="O22" s="6" t="n">
        <v>0.6972898590045733</v>
      </c>
      <c r="P22" s="6" t="n">
        <v>0.1928486374042484</v>
      </c>
    </row>
    <row r="23">
      <c r="A23" s="3" t="n">
        <v>22</v>
      </c>
      <c r="B23" s="7" t="n">
        <v>65</v>
      </c>
      <c r="C23" s="3" t="inlineStr">
        <is>
          <t>COPX</t>
        </is>
      </c>
      <c r="D23" s="3" t="inlineStr">
        <is>
          <t>Copper Miners</t>
        </is>
      </c>
      <c r="E23" s="3" t="inlineStr">
        <is>
          <t>Materials</t>
        </is>
      </c>
      <c r="F23" s="5" t="n">
        <v>80.81999999999999</v>
      </c>
      <c r="G23" s="6" t="n">
        <v>-0.04241708253947107</v>
      </c>
      <c r="H23" s="6" t="n">
        <v>-0.03302227896344667</v>
      </c>
      <c r="I23" s="6" t="n">
        <v>-0.04580870594114572</v>
      </c>
      <c r="J23" s="6" t="n">
        <v>-0.0560617016792776</v>
      </c>
      <c r="K23" s="6" t="n">
        <v>0.02667680947099371</v>
      </c>
      <c r="L23" s="6" t="n">
        <v>-0.06173033818929108</v>
      </c>
      <c r="M23" s="6" t="n">
        <v>-0.01572225801023541</v>
      </c>
      <c r="N23" s="6" t="n">
        <v>0.3356311184312306</v>
      </c>
      <c r="O23" s="6" t="n">
        <v>1.46704974592383</v>
      </c>
      <c r="P23" s="6" t="n">
        <v>0.3512197016985401</v>
      </c>
    </row>
    <row r="24">
      <c r="A24" s="3" t="n">
        <v>23</v>
      </c>
      <c r="B24" s="7" t="n">
        <v>64</v>
      </c>
      <c r="C24" s="3" t="inlineStr">
        <is>
          <t>IAK</t>
        </is>
      </c>
      <c r="D24" s="3" t="inlineStr">
        <is>
          <t>Property &amp; Casualty Insurance</t>
        </is>
      </c>
      <c r="E24" s="3" t="inlineStr">
        <is>
          <t>Financials</t>
        </is>
      </c>
      <c r="F24" s="5" t="n">
        <v>142.08</v>
      </c>
      <c r="G24" s="6" t="n">
        <v>-0.001896763336030949</v>
      </c>
      <c r="H24" s="6" t="n">
        <v>0.02770344904922006</v>
      </c>
      <c r="I24" s="6" t="n">
        <v>0.04801943022151756</v>
      </c>
      <c r="J24" s="6" t="n">
        <v>-0.02116406287942774</v>
      </c>
      <c r="K24" s="6" t="n">
        <v>-0.019143821363099</v>
      </c>
      <c r="L24" s="6" t="n">
        <v>0.09104851729218444</v>
      </c>
      <c r="M24" s="6" t="n">
        <v>0.1017858165541534</v>
      </c>
      <c r="N24" s="6" t="n">
        <v>0.08958362197441727</v>
      </c>
      <c r="O24" s="6" t="n">
        <v>0.6009054201159139</v>
      </c>
      <c r="P24" s="6" t="n">
        <v>0.1698276757224235</v>
      </c>
    </row>
    <row r="25">
      <c r="A25" s="3" t="n">
        <v>24</v>
      </c>
      <c r="B25" s="7" t="n">
        <v>62</v>
      </c>
      <c r="C25" s="3" t="inlineStr">
        <is>
          <t>GRID</t>
        </is>
      </c>
      <c r="D25" s="3" t="inlineStr">
        <is>
          <t>Smart Grid &amp; Electric Infrastructure</t>
        </is>
      </c>
      <c r="E25" s="3" t="inlineStr">
        <is>
          <t>Utilities</t>
        </is>
      </c>
      <c r="F25" s="5" t="n">
        <v>174.48</v>
      </c>
      <c r="G25" s="6" t="n">
        <v>-0.02661090249629527</v>
      </c>
      <c r="H25" s="6" t="n">
        <v>-0.02953444439003328</v>
      </c>
      <c r="I25" s="6" t="n">
        <v>-0.01484955605978799</v>
      </c>
      <c r="J25" s="6" t="n">
        <v>0.01059957901115083</v>
      </c>
      <c r="K25" s="6" t="n">
        <v>-0.04837177306104867</v>
      </c>
      <c r="L25" s="6" t="n">
        <v>-0.03156464859633157</v>
      </c>
      <c r="M25" s="6" t="n">
        <v>0.1231190489076013</v>
      </c>
      <c r="N25" s="6" t="n">
        <v>0.1551104149861935</v>
      </c>
      <c r="O25" s="6" t="n">
        <v>0.9554859988660127</v>
      </c>
      <c r="P25" s="6" t="n">
        <v>0.2505034769396328</v>
      </c>
    </row>
    <row r="26">
      <c r="A26" s="3" t="n">
        <v>25</v>
      </c>
      <c r="B26" s="7" t="n">
        <v>60</v>
      </c>
      <c r="C26" s="3" t="inlineStr">
        <is>
          <t>KBWP</t>
        </is>
      </c>
      <c r="D26" s="3" t="inlineStr">
        <is>
          <t>Insurance Underwriters</t>
        </is>
      </c>
      <c r="E26" s="3" t="inlineStr">
        <is>
          <t>Financials</t>
        </is>
      </c>
      <c r="F26" s="5" t="n">
        <v>128.59</v>
      </c>
      <c r="G26" s="6" t="n">
        <v>0.002885627153837111</v>
      </c>
      <c r="H26" s="6" t="n">
        <v>0.03467973608728214</v>
      </c>
      <c r="I26" s="6" t="n">
        <v>0.04817407905129834</v>
      </c>
      <c r="J26" s="6" t="n">
        <v>-0.02362412175950956</v>
      </c>
      <c r="K26" s="6" t="n">
        <v>-0.02414126760472046</v>
      </c>
      <c r="L26" s="6" t="n">
        <v>0.07146313597540144</v>
      </c>
      <c r="M26" s="6" t="n">
        <v>0.06483950343979861</v>
      </c>
      <c r="N26" s="6" t="n">
        <v>0.05706689967291201</v>
      </c>
      <c r="O26" s="6" t="n">
        <v>0.5651237070552153</v>
      </c>
      <c r="P26" s="6" t="n">
        <v>0.1610463475661887</v>
      </c>
    </row>
    <row r="27">
      <c r="A27" s="3" t="n">
        <v>26</v>
      </c>
      <c r="B27" s="7" t="n">
        <v>59</v>
      </c>
      <c r="C27" s="3" t="inlineStr">
        <is>
          <t>PEJ</t>
        </is>
      </c>
      <c r="D27" s="3" t="inlineStr">
        <is>
          <t>Leisure &amp; Entertainment</t>
        </is>
      </c>
      <c r="E27" s="3" t="inlineStr">
        <is>
          <t>Consumer Discretionary</t>
        </is>
      </c>
      <c r="F27" s="5" t="n">
        <v>63.55</v>
      </c>
      <c r="G27" s="6" t="n">
        <v>-0.005477343982168925</v>
      </c>
      <c r="H27" s="6" t="n">
        <v>0.01420362897886585</v>
      </c>
      <c r="I27" s="6" t="n">
        <v>0.02533074711874339</v>
      </c>
      <c r="J27" s="6" t="n">
        <v>-0.0008221096700417041</v>
      </c>
      <c r="K27" s="6" t="n">
        <v>-0.02829724475469819</v>
      </c>
      <c r="L27" s="6" t="n">
        <v>0.0202506818410364</v>
      </c>
      <c r="M27" s="6" t="n">
        <v>0.03384717103176449</v>
      </c>
      <c r="N27" s="6" t="n">
        <v>0.08788281107713014</v>
      </c>
      <c r="O27" s="6" t="n">
        <v>0.7637736161483382</v>
      </c>
      <c r="P27" s="6" t="n">
        <v>0.2082244331378256</v>
      </c>
    </row>
    <row r="28">
      <c r="A28" s="3" t="n">
        <v>27</v>
      </c>
      <c r="B28" s="7" t="n">
        <v>57</v>
      </c>
      <c r="C28" s="3" t="inlineStr">
        <is>
          <t>REZ</t>
        </is>
      </c>
      <c r="D28" s="3" t="inlineStr">
        <is>
          <t>Residential &amp; Healthcare REITs</t>
        </is>
      </c>
      <c r="E28" s="3" t="inlineStr">
        <is>
          <t>Real Estate</t>
        </is>
      </c>
      <c r="F28" s="5" t="n">
        <v>88.31999999999999</v>
      </c>
      <c r="G28" s="6" t="n">
        <v>-0.0007919413429978706</v>
      </c>
      <c r="H28" s="6" t="n">
        <v>0.02637997167415596</v>
      </c>
      <c r="I28" s="6" t="n">
        <v>-0.0002263600169273294</v>
      </c>
      <c r="J28" s="6" t="n">
        <v>-0.03890314392975192</v>
      </c>
      <c r="K28" s="6" t="n">
        <v>-0.07387211887048084</v>
      </c>
      <c r="L28" s="6" t="n">
        <v>0.01444835486048479</v>
      </c>
      <c r="M28" s="6" t="n">
        <v>0.05407350528631172</v>
      </c>
      <c r="N28" s="6" t="n">
        <v>0.09082758234673416</v>
      </c>
      <c r="O28" s="6" t="n">
        <v>0.4280278246538571</v>
      </c>
      <c r="P28" s="6" t="n">
        <v>0.1261050080093447</v>
      </c>
    </row>
    <row r="29">
      <c r="A29" s="3" t="n">
        <v>28</v>
      </c>
      <c r="B29" s="7" t="n">
        <v>56</v>
      </c>
      <c r="C29" s="3" t="inlineStr">
        <is>
          <t>IYT</t>
        </is>
      </c>
      <c r="D29" s="3" t="inlineStr">
        <is>
          <t>Transportation &amp; Freight</t>
        </is>
      </c>
      <c r="E29" s="3" t="inlineStr">
        <is>
          <t>Industrials</t>
        </is>
      </c>
      <c r="F29" s="5" t="n">
        <v>79.52</v>
      </c>
      <c r="G29" s="6" t="n">
        <v>-0.004257500183904139</v>
      </c>
      <c r="H29" s="6" t="n">
        <v>0.007602616422223818</v>
      </c>
      <c r="I29" s="6" t="n">
        <v>0.01273560930657913</v>
      </c>
      <c r="J29" s="6" t="n">
        <v>-0.03558354540231701</v>
      </c>
      <c r="K29" s="6" t="n">
        <v>-0.0903974105219798</v>
      </c>
      <c r="L29" s="6" t="n">
        <v>0.01129213775860838</v>
      </c>
      <c r="M29" s="6" t="n">
        <v>0.03661360163091798</v>
      </c>
      <c r="N29" s="6" t="n">
        <v>0.1301832598318351</v>
      </c>
      <c r="O29" s="6" t="n">
        <v>0.4364564931748351</v>
      </c>
      <c r="P29" s="6" t="n">
        <v>0.1283162050638291</v>
      </c>
    </row>
    <row r="30">
      <c r="A30" s="3" t="n">
        <v>29</v>
      </c>
      <c r="B30" s="7" t="n">
        <v>54</v>
      </c>
      <c r="C30" s="3" t="inlineStr">
        <is>
          <t>PBJ</t>
        </is>
      </c>
      <c r="D30" s="3" t="inlineStr">
        <is>
          <t>Food &amp; Beverage Manufacturers</t>
        </is>
      </c>
      <c r="E30" s="3" t="inlineStr">
        <is>
          <t>Consumer Staples</t>
        </is>
      </c>
      <c r="F30" s="5" t="n">
        <v>47.11</v>
      </c>
      <c r="G30" s="6" t="n">
        <v>0.01377231273588397</v>
      </c>
      <c r="H30" s="6" t="n">
        <v>0.03720833354330133</v>
      </c>
      <c r="I30" s="6" t="n">
        <v>0.05203219952145055</v>
      </c>
      <c r="J30" s="6" t="n">
        <v>-0.00150272594454004</v>
      </c>
      <c r="K30" s="6" t="n">
        <v>-0.01747705795034526</v>
      </c>
      <c r="L30" s="6" t="n">
        <v>-0.04008306384841565</v>
      </c>
      <c r="M30" s="6" t="n">
        <v>0.0295054897327085</v>
      </c>
      <c r="N30" s="6" t="n">
        <v>0.03984843828280571</v>
      </c>
      <c r="O30" s="6" t="n">
        <v>0.2202631841313665</v>
      </c>
      <c r="P30" s="6" t="n">
        <v>0.06860656070878179</v>
      </c>
    </row>
    <row r="31">
      <c r="A31" s="3" t="n">
        <v>30</v>
      </c>
      <c r="B31" s="7" t="n">
        <v>52</v>
      </c>
      <c r="C31" s="3" t="inlineStr">
        <is>
          <t>GDX</t>
        </is>
      </c>
      <c r="D31" s="3" t="inlineStr">
        <is>
          <t>Gold Miners</t>
        </is>
      </c>
      <c r="E31" s="3" t="inlineStr">
        <is>
          <t>Materials</t>
        </is>
      </c>
      <c r="F31" s="5" t="n">
        <v>83.40000000000001</v>
      </c>
      <c r="G31" s="6" t="n">
        <v>-0.04401646529023318</v>
      </c>
      <c r="H31" s="6" t="n">
        <v>-0.02410481606204506</v>
      </c>
      <c r="I31" s="6" t="n">
        <v>-0.05011391085356931</v>
      </c>
      <c r="J31" s="6" t="n">
        <v>-0.1140853827639868</v>
      </c>
      <c r="K31" s="6" t="n">
        <v>0.1137821125129921</v>
      </c>
      <c r="L31" s="6" t="n">
        <v>-0.1722084215793657</v>
      </c>
      <c r="M31" s="6" t="n">
        <v>-0.1389634420778041</v>
      </c>
      <c r="N31" s="6" t="n">
        <v>0.07081853800236404</v>
      </c>
      <c r="O31" s="6" t="n">
        <v>1.984025436570892</v>
      </c>
      <c r="P31" s="6" t="n">
        <v>0.43968509005195</v>
      </c>
    </row>
    <row r="32">
      <c r="A32" s="3" t="n">
        <v>31</v>
      </c>
      <c r="B32" s="7" t="n">
        <v>51</v>
      </c>
      <c r="C32" s="3" t="inlineStr">
        <is>
          <t>KRE</t>
        </is>
      </c>
      <c r="D32" s="3" t="inlineStr">
        <is>
          <t>Regional Banks</t>
        </is>
      </c>
      <c r="E32" s="3" t="inlineStr">
        <is>
          <t>Financials</t>
        </is>
      </c>
      <c r="F32" s="5" t="n">
        <v>68.54000000000001</v>
      </c>
      <c r="G32" s="6" t="n">
        <v>-0.007529635989709016</v>
      </c>
      <c r="H32" s="6" t="n">
        <v>-0.005080541112236991</v>
      </c>
      <c r="I32" s="6" t="n">
        <v>-0.01296085101146605</v>
      </c>
      <c r="J32" s="6" t="n">
        <v>-0.06989113998882879</v>
      </c>
      <c r="K32" s="6" t="n">
        <v>-0.08092839002783503</v>
      </c>
      <c r="L32" s="6" t="n">
        <v>0.0006276425589548662</v>
      </c>
      <c r="M32" s="6" t="n">
        <v>0.04114888863418087</v>
      </c>
      <c r="N32" s="6" t="n">
        <v>0.1066454157766363</v>
      </c>
      <c r="O32" s="6" t="n">
        <v>0.8389962369222146</v>
      </c>
      <c r="P32" s="6" t="n">
        <v>0.2251622690880073</v>
      </c>
    </row>
    <row r="33">
      <c r="A33" s="3" t="n">
        <v>32</v>
      </c>
      <c r="B33" s="7" t="n">
        <v>49</v>
      </c>
      <c r="C33" s="3" t="inlineStr">
        <is>
          <t>PAVE</t>
        </is>
      </c>
      <c r="D33" s="3" t="inlineStr">
        <is>
          <t>Infrastructure Development</t>
        </is>
      </c>
      <c r="E33" s="3" t="inlineStr">
        <is>
          <t>Industrials</t>
        </is>
      </c>
      <c r="F33" s="5" t="n">
        <v>52.82</v>
      </c>
      <c r="G33" s="6" t="n">
        <v>-0.01344791199834128</v>
      </c>
      <c r="H33" s="6" t="n">
        <v>-0.008819688733879838</v>
      </c>
      <c r="I33" s="6" t="n">
        <v>0.00609523228236597</v>
      </c>
      <c r="J33" s="6" t="n">
        <v>-0.003772175805595746</v>
      </c>
      <c r="K33" s="6" t="n">
        <v>-0.06859459447096927</v>
      </c>
      <c r="L33" s="6" t="n">
        <v>-0.03795227588244332</v>
      </c>
      <c r="M33" s="6" t="n">
        <v>0.04384741652693624</v>
      </c>
      <c r="N33" s="6" t="n">
        <v>0.1165253328422049</v>
      </c>
      <c r="O33" s="6" t="n">
        <v>0.7999609236728575</v>
      </c>
      <c r="P33" s="6" t="n">
        <v>0.2164315964541315</v>
      </c>
    </row>
    <row r="34">
      <c r="A34" s="3" t="n">
        <v>33</v>
      </c>
      <c r="B34" s="7" t="n">
        <v>48</v>
      </c>
      <c r="C34" s="3" t="inlineStr">
        <is>
          <t>VAW</t>
        </is>
      </c>
      <c r="D34" s="3" t="inlineStr">
        <is>
          <t>Chemicals &amp; Raw Materials</t>
        </is>
      </c>
      <c r="E34" s="3" t="inlineStr">
        <is>
          <t>Materials</t>
        </is>
      </c>
      <c r="F34" s="5" t="n">
        <v>220.34</v>
      </c>
      <c r="G34" s="6" t="n">
        <v>-0.007745659909994762</v>
      </c>
      <c r="H34" s="6" t="n">
        <v>0.003872571978012163</v>
      </c>
      <c r="I34" s="6" t="n">
        <v>0.009946363785844348</v>
      </c>
      <c r="J34" s="6" t="n">
        <v>-0.01958394413281817</v>
      </c>
      <c r="K34" s="6" t="n">
        <v>-0.02053948798536198</v>
      </c>
      <c r="L34" s="6" t="n">
        <v>-0.06222419126410406</v>
      </c>
      <c r="M34" s="6" t="n">
        <v>-0.008955308696151354</v>
      </c>
      <c r="N34" s="6" t="n">
        <v>0.09147052658861354</v>
      </c>
      <c r="O34" s="6" t="n">
        <v>0.3649011136359748</v>
      </c>
      <c r="P34" s="6" t="n">
        <v>0.1092609623871343</v>
      </c>
    </row>
    <row r="35">
      <c r="A35" s="3" t="n">
        <v>34</v>
      </c>
      <c r="B35" s="7" t="n">
        <v>46</v>
      </c>
      <c r="C35" s="3" t="inlineStr">
        <is>
          <t>KBE</t>
        </is>
      </c>
      <c r="D35" s="3" t="inlineStr">
        <is>
          <t>Commercial Banking</t>
        </is>
      </c>
      <c r="E35" s="3" t="inlineStr">
        <is>
          <t>Financials</t>
        </is>
      </c>
      <c r="F35" s="5" t="n">
        <v>62.5</v>
      </c>
      <c r="G35" s="6" t="n">
        <v>-0.006990763207965323</v>
      </c>
      <c r="H35" s="6" t="n">
        <v>-0.006201294219007947</v>
      </c>
      <c r="I35" s="6" t="n">
        <v>-0.01138882010124576</v>
      </c>
      <c r="J35" s="6" t="n">
        <v>-0.07757854910717554</v>
      </c>
      <c r="K35" s="6" t="n">
        <v>-0.08616161776166265</v>
      </c>
      <c r="L35" s="6" t="n">
        <v>-0.002504393418988671</v>
      </c>
      <c r="M35" s="6" t="n">
        <v>0.01778243074199914</v>
      </c>
      <c r="N35" s="6" t="n">
        <v>0.07834799772088408</v>
      </c>
      <c r="O35" s="6" t="n">
        <v>0.8768620845449389</v>
      </c>
      <c r="P35" s="6" t="n">
        <v>0.2335141061435015</v>
      </c>
    </row>
    <row r="36">
      <c r="A36" s="3" t="n">
        <v>35</v>
      </c>
      <c r="B36" s="7" t="n">
        <v>44</v>
      </c>
      <c r="C36" s="3" t="inlineStr">
        <is>
          <t>VNQ</t>
        </is>
      </c>
      <c r="D36" s="3" t="inlineStr">
        <is>
          <t>REITs - Broad</t>
        </is>
      </c>
      <c r="E36" s="3" t="inlineStr">
        <is>
          <t>Real Estate</t>
        </is>
      </c>
      <c r="F36" s="5" t="n">
        <v>90.34999999999999</v>
      </c>
      <c r="G36" s="6" t="n">
        <v>-0.008667993425695242</v>
      </c>
      <c r="H36" s="6" t="n">
        <v>0.01871683376952804</v>
      </c>
      <c r="I36" s="6" t="n">
        <v>0.008033038522442526</v>
      </c>
      <c r="J36" s="6" t="n">
        <v>-0.03388512486305562</v>
      </c>
      <c r="K36" s="6" t="n">
        <v>-0.06596685425378923</v>
      </c>
      <c r="L36" s="6" t="n">
        <v>-0.0242319723774137</v>
      </c>
      <c r="M36" s="6" t="n">
        <v>0.02255600079128706</v>
      </c>
      <c r="N36" s="6" t="n">
        <v>0.04651210058516142</v>
      </c>
      <c r="O36" s="6" t="n">
        <v>0.34643087134046</v>
      </c>
      <c r="P36" s="6" t="n">
        <v>0.1042346061081632</v>
      </c>
    </row>
    <row r="37">
      <c r="A37" s="3" t="n">
        <v>36</v>
      </c>
      <c r="B37" s="7" t="n">
        <v>43</v>
      </c>
      <c r="C37" s="3" t="inlineStr">
        <is>
          <t>XRT</t>
        </is>
      </c>
      <c r="D37" s="3" t="inlineStr">
        <is>
          <t>Retail - Broad / Omnichannel</t>
        </is>
      </c>
      <c r="E37" s="3" t="inlineStr">
        <is>
          <t>Consumer Discretionary</t>
        </is>
      </c>
      <c r="F37" s="5" t="n">
        <v>84.7</v>
      </c>
      <c r="G37" s="6" t="n">
        <v>0.004387467202108475</v>
      </c>
      <c r="H37" s="6" t="n">
        <v>0.02158959362042401</v>
      </c>
      <c r="I37" s="6" t="n">
        <v>0.03104072276322456</v>
      </c>
      <c r="J37" s="6" t="n">
        <v>-0.007495236972199226</v>
      </c>
      <c r="K37" s="6" t="n">
        <v>-0.03304844818523445</v>
      </c>
      <c r="L37" s="6" t="n">
        <v>0.0171248759262812</v>
      </c>
      <c r="M37" s="6" t="n">
        <v>-0.04998819951261169</v>
      </c>
      <c r="N37" s="6" t="n">
        <v>0.006015360000927839</v>
      </c>
      <c r="O37" s="6" t="n">
        <v>0.4969217284596332</v>
      </c>
      <c r="P37" s="6" t="n">
        <v>0.1439306526692674</v>
      </c>
    </row>
    <row r="38">
      <c r="A38" s="3" t="n">
        <v>37</v>
      </c>
      <c r="B38" s="7" t="n">
        <v>41</v>
      </c>
      <c r="C38" s="3" t="inlineStr">
        <is>
          <t>IFRA</t>
        </is>
      </c>
      <c r="D38" s="3" t="inlineStr">
        <is>
          <t>US Infrastructure &amp; Engineering</t>
        </is>
      </c>
      <c r="E38" s="3" t="inlineStr">
        <is>
          <t>Industrials</t>
        </is>
      </c>
      <c r="F38" s="5" t="n">
        <v>56.67</v>
      </c>
      <c r="G38" s="6" t="n">
        <v>-0.009958132299215383</v>
      </c>
      <c r="H38" s="6" t="n">
        <v>-0.0003528039909714842</v>
      </c>
      <c r="I38" s="6" t="n">
        <v>0.02980191579189051</v>
      </c>
      <c r="J38" s="6" t="n">
        <v>-0.008416349659640221</v>
      </c>
      <c r="K38" s="6" t="n">
        <v>-0.08212162208251383</v>
      </c>
      <c r="L38" s="6" t="n">
        <v>-0.04491123043389844</v>
      </c>
      <c r="M38" s="6" t="n">
        <v>0.02625372521874647</v>
      </c>
      <c r="N38" s="6" t="n">
        <v>0.0813710279594213</v>
      </c>
      <c r="O38" s="6" t="n">
        <v>0.6608352909136523</v>
      </c>
      <c r="P38" s="6" t="n">
        <v>0.1842467135704311</v>
      </c>
    </row>
    <row r="39">
      <c r="A39" s="3" t="n">
        <v>38</v>
      </c>
      <c r="B39" s="7" t="n">
        <v>40</v>
      </c>
      <c r="C39" s="3" t="inlineStr">
        <is>
          <t>XLC</t>
        </is>
      </c>
      <c r="D39" s="3" t="inlineStr">
        <is>
          <t>Media &amp; Interactive Media</t>
        </is>
      </c>
      <c r="E39" s="3" t="inlineStr">
        <is>
          <t>Communication</t>
        </is>
      </c>
      <c r="F39" s="5" t="n">
        <v>110.82</v>
      </c>
      <c r="G39" s="6" t="n">
        <v>-0.013003198257443</v>
      </c>
      <c r="H39" s="6" t="n">
        <v>-0.003954722568380808</v>
      </c>
      <c r="I39" s="6" t="n">
        <v>-0.00135173041568748</v>
      </c>
      <c r="J39" s="6" t="n">
        <v>-0.03375999723273804</v>
      </c>
      <c r="K39" s="6" t="n">
        <v>-0.002375620089796748</v>
      </c>
      <c r="L39" s="6" t="n">
        <v>-0.04363001343029194</v>
      </c>
      <c r="M39" s="6" t="n">
        <v>-0.04123620564915176</v>
      </c>
      <c r="N39" s="6" t="n">
        <v>-0.02092460868223578</v>
      </c>
      <c r="O39" s="6" t="n">
        <v>0.7104575739865919</v>
      </c>
      <c r="P39" s="6" t="n">
        <v>0.1959254338218892</v>
      </c>
    </row>
    <row r="40">
      <c r="A40" s="3" t="n">
        <v>39</v>
      </c>
      <c r="B40" s="7" t="n">
        <v>38</v>
      </c>
      <c r="C40" s="3" t="inlineStr">
        <is>
          <t>IHI</t>
        </is>
      </c>
      <c r="D40" s="3" t="inlineStr">
        <is>
          <t>Medical Devices &amp; Equipment</t>
        </is>
      </c>
      <c r="E40" s="3" t="inlineStr">
        <is>
          <t>Health Care</t>
        </is>
      </c>
      <c r="F40" s="5" t="n">
        <v>52.71</v>
      </c>
      <c r="G40" s="6" t="n">
        <v>0.0003795873654384163</v>
      </c>
      <c r="H40" s="6" t="n">
        <v>0.0345436368042884</v>
      </c>
      <c r="I40" s="6" t="n">
        <v>0.0304984850841985</v>
      </c>
      <c r="J40" s="6" t="n">
        <v>0.01798018278925451</v>
      </c>
      <c r="K40" s="6" t="n">
        <v>0.0725813744534769</v>
      </c>
      <c r="L40" s="6" t="n">
        <v>-0.0271887234628102</v>
      </c>
      <c r="M40" s="6" t="n">
        <v>-0.1540651384554916</v>
      </c>
      <c r="N40" s="6" t="n">
        <v>-0.1090586685757516</v>
      </c>
      <c r="O40" s="6" t="n">
        <v>0.1778967547508479</v>
      </c>
      <c r="P40" s="6" t="n">
        <v>0.05609359426375149</v>
      </c>
    </row>
    <row r="41">
      <c r="A41" s="3" t="n">
        <v>40</v>
      </c>
      <c r="B41" s="7" t="n">
        <v>36</v>
      </c>
      <c r="C41" s="3" t="inlineStr">
        <is>
          <t>BIZD</t>
        </is>
      </c>
      <c r="D41" s="3" t="inlineStr">
        <is>
          <t>Business Development Companies (BDCs)</t>
        </is>
      </c>
      <c r="E41" s="3" t="inlineStr">
        <is>
          <t>Financials</t>
        </is>
      </c>
      <c r="F41" s="5" t="n">
        <v>12.02</v>
      </c>
      <c r="G41" s="6" t="n">
        <v>0</v>
      </c>
      <c r="H41" s="6" t="n">
        <v>-0.0008311949650434691</v>
      </c>
      <c r="I41" s="6" t="n">
        <v>-0.03477078045673132</v>
      </c>
      <c r="J41" s="6" t="n">
        <v>-0.04879161310850277</v>
      </c>
      <c r="K41" s="6" t="n">
        <v>-0.009410451538984344</v>
      </c>
      <c r="L41" s="6" t="n">
        <v>-0.01313581252226614</v>
      </c>
      <c r="M41" s="6" t="n">
        <v>-0.08932842627798654</v>
      </c>
      <c r="N41" s="6" t="n">
        <v>-0.04626078802557443</v>
      </c>
      <c r="O41" s="6" t="n">
        <v>0.1070288193768014</v>
      </c>
      <c r="P41" s="6" t="n">
        <v>0.03447414904432078</v>
      </c>
    </row>
    <row r="42">
      <c r="A42" s="3" t="n">
        <v>41</v>
      </c>
      <c r="B42" s="7" t="n">
        <v>35</v>
      </c>
      <c r="C42" s="3" t="inlineStr">
        <is>
          <t>SIL</t>
        </is>
      </c>
      <c r="D42" s="3" t="inlineStr">
        <is>
          <t>Silver Miners</t>
        </is>
      </c>
      <c r="E42" s="3" t="inlineStr">
        <is>
          <t>Materials</t>
        </is>
      </c>
      <c r="F42" s="5" t="n">
        <v>79.53</v>
      </c>
      <c r="G42" s="6" t="n">
        <v>-0.05445252404969092</v>
      </c>
      <c r="H42" s="6" t="n">
        <v>-0.0482288044165029</v>
      </c>
      <c r="I42" s="6" t="n">
        <v>-0.07534011389361406</v>
      </c>
      <c r="J42" s="6" t="n">
        <v>-0.1473142313529926</v>
      </c>
      <c r="K42" s="6" t="n">
        <v>0.05295908995958332</v>
      </c>
      <c r="L42" s="6" t="n">
        <v>-0.2019272280914349</v>
      </c>
      <c r="M42" s="6" t="n">
        <v>-0.1602732712151076</v>
      </c>
      <c r="N42" s="6" t="n">
        <v>0.07129437534678584</v>
      </c>
      <c r="O42" s="6" t="n">
        <v>2.37754747033208</v>
      </c>
      <c r="P42" s="6" t="n">
        <v>0.5003773080966025</v>
      </c>
    </row>
    <row r="43">
      <c r="A43" s="3" t="n">
        <v>42</v>
      </c>
      <c r="B43" s="7" t="n">
        <v>33</v>
      </c>
      <c r="C43" s="3" t="inlineStr">
        <is>
          <t>XTN</t>
        </is>
      </c>
      <c r="D43" s="3" t="inlineStr">
        <is>
          <t>Trucking &amp; Logistics</t>
        </is>
      </c>
      <c r="E43" s="3" t="inlineStr">
        <is>
          <t>Industrials</t>
        </is>
      </c>
      <c r="F43" s="5" t="n">
        <v>97.55</v>
      </c>
      <c r="G43" s="6" t="n">
        <v>-0.009946166037555826</v>
      </c>
      <c r="H43" s="6" t="n">
        <v>-0.01474597568904001</v>
      </c>
      <c r="I43" s="6" t="n">
        <v>-0.003778544976575038</v>
      </c>
      <c r="J43" s="6" t="n">
        <v>-0.04939772490208172</v>
      </c>
      <c r="K43" s="6" t="n">
        <v>-0.1474184686121318</v>
      </c>
      <c r="L43" s="6" t="n">
        <v>-0.08502662538504724</v>
      </c>
      <c r="M43" s="6" t="n">
        <v>0.01039094064038948</v>
      </c>
      <c r="N43" s="6" t="n">
        <v>0.16572585251529</v>
      </c>
      <c r="O43" s="6" t="n">
        <v>0.3851853625343653</v>
      </c>
      <c r="P43" s="6" t="n">
        <v>0.1147289956594755</v>
      </c>
    </row>
    <row r="44">
      <c r="A44" s="3" t="n">
        <v>43</v>
      </c>
      <c r="B44" s="7" t="n">
        <v>32</v>
      </c>
      <c r="C44" s="3" t="inlineStr">
        <is>
          <t>LIT</t>
        </is>
      </c>
      <c r="D44" s="3" t="inlineStr">
        <is>
          <t>Lithium &amp; Battery Tech</t>
        </is>
      </c>
      <c r="E44" s="3" t="inlineStr">
        <is>
          <t>Materials</t>
        </is>
      </c>
      <c r="F44" s="5" t="n">
        <v>66.38</v>
      </c>
      <c r="G44" s="6" t="n">
        <v>-0.01877315955381187</v>
      </c>
      <c r="H44" s="6" t="n">
        <v>-0.04502956102170885</v>
      </c>
      <c r="I44" s="6" t="n">
        <v>-0.02981585749958793</v>
      </c>
      <c r="J44" s="6" t="n">
        <v>-0.05130775910609708</v>
      </c>
      <c r="K44" s="6" t="n">
        <v>-0.07264605259315204</v>
      </c>
      <c r="L44" s="6" t="n">
        <v>-0.1723732147715231</v>
      </c>
      <c r="M44" s="6" t="n">
        <v>-0.05599919537239306</v>
      </c>
      <c r="N44" s="6" t="n">
        <v>0.1672143837185396</v>
      </c>
      <c r="O44" s="6" t="n">
        <v>0.2881860056614358</v>
      </c>
      <c r="P44" s="6" t="n">
        <v>0.08807673799971383</v>
      </c>
    </row>
    <row r="45">
      <c r="A45" s="3" t="n">
        <v>44</v>
      </c>
      <c r="B45" s="8" t="n">
        <v>30</v>
      </c>
      <c r="C45" s="3" t="inlineStr">
        <is>
          <t>IAI</t>
        </is>
      </c>
      <c r="D45" s="3" t="inlineStr">
        <is>
          <t>Broker-Dealers &amp; Securities Exchanges</t>
        </is>
      </c>
      <c r="E45" s="3" t="inlineStr">
        <is>
          <t>Financials</t>
        </is>
      </c>
      <c r="F45" s="5" t="n">
        <v>174.82</v>
      </c>
      <c r="G45" s="6" t="n">
        <v>-0.01543134868241269</v>
      </c>
      <c r="H45" s="6" t="n">
        <v>-0.005913756866389952</v>
      </c>
      <c r="I45" s="6" t="n">
        <v>-0.007493993811761412</v>
      </c>
      <c r="J45" s="6" t="n">
        <v>-0.07186389221278933</v>
      </c>
      <c r="K45" s="6" t="n">
        <v>-0.09393151810744449</v>
      </c>
      <c r="L45" s="6" t="n">
        <v>0.0005644274798892734</v>
      </c>
      <c r="M45" s="6" t="n">
        <v>-0.05898395271283075</v>
      </c>
      <c r="N45" s="6" t="n">
        <v>0.02560952444211861</v>
      </c>
      <c r="O45" s="6" t="n">
        <v>1.016262257253821</v>
      </c>
      <c r="P45" s="6" t="n">
        <v>0.2633266959630456</v>
      </c>
    </row>
    <row r="46">
      <c r="A46" s="3" t="n">
        <v>45</v>
      </c>
      <c r="B46" s="8" t="n">
        <v>28</v>
      </c>
      <c r="C46" s="3" t="inlineStr">
        <is>
          <t>FAN</t>
        </is>
      </c>
      <c r="D46" s="3" t="inlineStr">
        <is>
          <t>Wind Energy</t>
        </is>
      </c>
      <c r="E46" s="3" t="inlineStr">
        <is>
          <t>Energy</t>
        </is>
      </c>
      <c r="F46" s="5" t="n">
        <v>21.8</v>
      </c>
      <c r="G46" s="6" t="n">
        <v>-0.02405103429692856</v>
      </c>
      <c r="H46" s="6" t="n">
        <v>-0.01656743492581603</v>
      </c>
      <c r="I46" s="6" t="n">
        <v>-0.03868166889975588</v>
      </c>
      <c r="J46" s="6" t="n">
        <v>-0.04561758157202456</v>
      </c>
      <c r="K46" s="6" t="n">
        <v>-0.1005799507332611</v>
      </c>
      <c r="L46" s="6" t="n">
        <v>-0.1527843236890474</v>
      </c>
      <c r="M46" s="6" t="n">
        <v>0.01634480041589526</v>
      </c>
      <c r="N46" s="6" t="n">
        <v>0.09408259591425128</v>
      </c>
      <c r="O46" s="6" t="n">
        <v>0.6410883168100772</v>
      </c>
      <c r="P46" s="6" t="n">
        <v>0.1795345087274296</v>
      </c>
    </row>
    <row r="47">
      <c r="A47" s="3" t="n">
        <v>46</v>
      </c>
      <c r="B47" s="8" t="n">
        <v>27</v>
      </c>
      <c r="C47" s="3" t="inlineStr">
        <is>
          <t>WOOD</t>
        </is>
      </c>
      <c r="D47" s="3" t="inlineStr">
        <is>
          <t>Timber &amp; Forestry</t>
        </is>
      </c>
      <c r="E47" s="3" t="inlineStr">
        <is>
          <t>Materials</t>
        </is>
      </c>
      <c r="F47" s="5" t="n">
        <v>66.52</v>
      </c>
      <c r="G47" s="6" t="n">
        <v>-0.007312423183749361</v>
      </c>
      <c r="H47" s="6" t="n">
        <v>0.01186490423856168</v>
      </c>
      <c r="I47" s="6" t="n">
        <v>-0.01041363530087414</v>
      </c>
      <c r="J47" s="6" t="n">
        <v>-0.05323093338244411</v>
      </c>
      <c r="K47" s="6" t="n">
        <v>-0.01829996242725984</v>
      </c>
      <c r="L47" s="6" t="n">
        <v>-0.07251943963803309</v>
      </c>
      <c r="M47" s="6" t="n">
        <v>-0.1246373240910776</v>
      </c>
      <c r="N47" s="6" t="n">
        <v>-0.0224770951290284</v>
      </c>
      <c r="O47" s="6" t="n">
        <v>-0.04552099016380451</v>
      </c>
      <c r="P47" s="6" t="n">
        <v>-0.01540990890763416</v>
      </c>
    </row>
    <row r="48">
      <c r="A48" s="3" t="n">
        <v>47</v>
      </c>
      <c r="B48" s="8" t="n">
        <v>25</v>
      </c>
      <c r="C48" s="3" t="inlineStr">
        <is>
          <t>XLU</t>
        </is>
      </c>
      <c r="D48" s="3" t="inlineStr">
        <is>
          <t>Electric &amp; Gas Utilities</t>
        </is>
      </c>
      <c r="E48" s="3" t="inlineStr">
        <is>
          <t>Utilities</t>
        </is>
      </c>
      <c r="F48" s="5" t="n">
        <v>41.72</v>
      </c>
      <c r="G48" s="6" t="n">
        <v>-0.003582462742013903</v>
      </c>
      <c r="H48" s="6" t="n">
        <v>0.01385175391708682</v>
      </c>
      <c r="I48" s="6" t="n">
        <v>0.05780939841235466</v>
      </c>
      <c r="J48" s="6" t="n">
        <v>0.004944205286101289</v>
      </c>
      <c r="K48" s="6" t="n">
        <v>-0.08017580923290313</v>
      </c>
      <c r="L48" s="6" t="n">
        <v>-0.08984024463671292</v>
      </c>
      <c r="M48" s="6" t="n">
        <v>-0.01341597198974609</v>
      </c>
      <c r="N48" s="6" t="n">
        <v>-0.06412406912132995</v>
      </c>
      <c r="O48" s="6" t="n">
        <v>0.5387647318742432</v>
      </c>
      <c r="P48" s="6" t="n">
        <v>0.1544915040490611</v>
      </c>
    </row>
    <row r="49">
      <c r="A49" s="3" t="n">
        <v>48</v>
      </c>
      <c r="B49" s="8" t="n">
        <v>23</v>
      </c>
      <c r="C49" s="3" t="inlineStr">
        <is>
          <t>BOTZ</t>
        </is>
      </c>
      <c r="D49" s="3" t="inlineStr">
        <is>
          <t>Robotics &amp; Artificial Intelligence</t>
        </is>
      </c>
      <c r="E49" s="3" t="inlineStr">
        <is>
          <t>Technology</t>
        </is>
      </c>
      <c r="F49" s="5" t="n">
        <v>34.11</v>
      </c>
      <c r="G49" s="6" t="n">
        <v>-0.02431345813446018</v>
      </c>
      <c r="H49" s="6" t="n">
        <v>-0.04373416424652077</v>
      </c>
      <c r="I49" s="6" t="n">
        <v>-0.03179105723637687</v>
      </c>
      <c r="J49" s="6" t="n">
        <v>-0.01869958983222908</v>
      </c>
      <c r="K49" s="6" t="n">
        <v>-0.04933111496857179</v>
      </c>
      <c r="L49" s="6" t="n">
        <v>-0.06731191173931927</v>
      </c>
      <c r="M49" s="6" t="n">
        <v>-0.1019195212611509</v>
      </c>
      <c r="N49" s="6" t="n">
        <v>-0.06020244825545773</v>
      </c>
      <c r="O49" s="6" t="n">
        <v>0.4166872764772958</v>
      </c>
      <c r="P49" s="6" t="n">
        <v>0.1231161298172623</v>
      </c>
    </row>
    <row r="50">
      <c r="A50" s="3" t="n">
        <v>49</v>
      </c>
      <c r="B50" s="8" t="n">
        <v>22</v>
      </c>
      <c r="C50" s="3" t="inlineStr">
        <is>
          <t>ICLN</t>
        </is>
      </c>
      <c r="D50" s="3" t="inlineStr">
        <is>
          <t>Clean &amp; Renewable Energy</t>
        </is>
      </c>
      <c r="E50" s="3" t="inlineStr">
        <is>
          <t>Energy</t>
        </is>
      </c>
      <c r="F50" s="5" t="n">
        <v>16.64</v>
      </c>
      <c r="G50" s="6" t="n">
        <v>-0.03143195028725687</v>
      </c>
      <c r="H50" s="6" t="n">
        <v>-0.03870595591941972</v>
      </c>
      <c r="I50" s="6" t="n">
        <v>-0.02117650649126834</v>
      </c>
      <c r="J50" s="6" t="n">
        <v>-0.05239180548258471</v>
      </c>
      <c r="K50" s="6" t="n">
        <v>-0.1274252933436232</v>
      </c>
      <c r="L50" s="6" t="n">
        <v>-0.1543506177281624</v>
      </c>
      <c r="M50" s="6" t="n">
        <v>-0.03890197896373315</v>
      </c>
      <c r="N50" s="6" t="n">
        <v>0.02402388126694577</v>
      </c>
      <c r="O50" s="6" t="n">
        <v>0.2435224711742003</v>
      </c>
      <c r="P50" s="6" t="n">
        <v>0.07535339992210854</v>
      </c>
    </row>
    <row r="51">
      <c r="A51" s="3" t="n">
        <v>50</v>
      </c>
      <c r="B51" s="8" t="n">
        <v>20</v>
      </c>
      <c r="C51" s="3" t="inlineStr">
        <is>
          <t>JETS</t>
        </is>
      </c>
      <c r="D51" s="3" t="inlineStr">
        <is>
          <t>Airlines</t>
        </is>
      </c>
      <c r="E51" s="3" t="inlineStr">
        <is>
          <t>Industrials</t>
        </is>
      </c>
      <c r="F51" s="5" t="n">
        <v>25.84</v>
      </c>
      <c r="G51" s="6" t="n">
        <v>-0.0358208623806644</v>
      </c>
      <c r="H51" s="6" t="n">
        <v>-0.06613660710734481</v>
      </c>
      <c r="I51" s="6" t="n">
        <v>-0.08433732171071739</v>
      </c>
      <c r="J51" s="6" t="n">
        <v>-0.08303761984552238</v>
      </c>
      <c r="K51" s="6" t="n">
        <v>-0.16239870881464</v>
      </c>
      <c r="L51" s="6" t="n">
        <v>-0.04118740552608779</v>
      </c>
      <c r="M51" s="6" t="n">
        <v>-0.09014082747635144</v>
      </c>
      <c r="N51" s="6" t="n">
        <v>0.02525176656417116</v>
      </c>
      <c r="O51" s="6" t="n">
        <v>0.6384683716607273</v>
      </c>
      <c r="P51" s="6" t="n">
        <v>0.1789064779925313</v>
      </c>
    </row>
    <row r="52">
      <c r="A52" s="3" t="n">
        <v>51</v>
      </c>
      <c r="B52" s="8" t="n">
        <v>19</v>
      </c>
      <c r="C52" s="3" t="inlineStr">
        <is>
          <t>VNQI</t>
        </is>
      </c>
      <c r="D52" s="3" t="inlineStr">
        <is>
          <t>International Real Estate</t>
        </is>
      </c>
      <c r="E52" s="3" t="inlineStr">
        <is>
          <t>Real Estate</t>
        </is>
      </c>
      <c r="F52" s="5" t="n">
        <v>41.95</v>
      </c>
      <c r="G52" s="6" t="n">
        <v>-0.002140821851282393</v>
      </c>
      <c r="H52" s="6" t="n">
        <v>0.003348466516384097</v>
      </c>
      <c r="I52" s="6" t="n">
        <v>-0.01340544893432949</v>
      </c>
      <c r="J52" s="6" t="n">
        <v>-0.04637419499181172</v>
      </c>
      <c r="K52" s="6" t="n">
        <v>-0.0747684026960671</v>
      </c>
      <c r="L52" s="6" t="n">
        <v>-0.1173994984150506</v>
      </c>
      <c r="M52" s="6" t="n">
        <v>-0.1087741441487147</v>
      </c>
      <c r="N52" s="6" t="n">
        <v>-0.07505392673970612</v>
      </c>
      <c r="O52" s="6" t="n">
        <v>0.256672042148163</v>
      </c>
      <c r="P52" s="6" t="n">
        <v>0.079130542268397</v>
      </c>
    </row>
    <row r="53">
      <c r="A53" s="3" t="n">
        <v>52</v>
      </c>
      <c r="B53" s="8" t="n">
        <v>17</v>
      </c>
      <c r="C53" s="3" t="inlineStr">
        <is>
          <t>XME</t>
        </is>
      </c>
      <c r="D53" s="3" t="inlineStr">
        <is>
          <t>Metals &amp; Mining</t>
        </is>
      </c>
      <c r="E53" s="3" t="inlineStr">
        <is>
          <t>Materials</t>
        </is>
      </c>
      <c r="F53" s="5" t="n">
        <v>99.86</v>
      </c>
      <c r="G53" s="6" t="n">
        <v>-0.03758675255960808</v>
      </c>
      <c r="H53" s="6" t="n">
        <v>-0.04750091474144036</v>
      </c>
      <c r="I53" s="6" t="n">
        <v>-0.03572805171368165</v>
      </c>
      <c r="J53" s="6" t="n">
        <v>-0.09297340501575035</v>
      </c>
      <c r="K53" s="6" t="n">
        <v>-0.04302699098399576</v>
      </c>
      <c r="L53" s="6" t="n">
        <v>-0.1324355693959743</v>
      </c>
      <c r="M53" s="6" t="n">
        <v>-0.1862602045035037</v>
      </c>
      <c r="N53" s="6" t="n">
        <v>-0.08040819131101196</v>
      </c>
      <c r="O53" s="6" t="n">
        <v>1.00955397339387</v>
      </c>
      <c r="P53" s="6" t="n">
        <v>0.2619240725000007</v>
      </c>
    </row>
    <row r="54">
      <c r="A54" s="3" t="n">
        <v>53</v>
      </c>
      <c r="B54" s="8" t="n">
        <v>15</v>
      </c>
      <c r="C54" s="3" t="inlineStr">
        <is>
          <t>ITA</t>
        </is>
      </c>
      <c r="D54" s="3" t="inlineStr">
        <is>
          <t>Aerospace &amp; Defense</t>
        </is>
      </c>
      <c r="E54" s="3" t="inlineStr">
        <is>
          <t>Industrials</t>
        </is>
      </c>
      <c r="F54" s="5" t="n">
        <v>204.24</v>
      </c>
      <c r="G54" s="6" t="n">
        <v>0.001176497515510189</v>
      </c>
      <c r="H54" s="6" t="n">
        <v>0.003143415375552738</v>
      </c>
      <c r="I54" s="6" t="n">
        <v>-0.01419049756999469</v>
      </c>
      <c r="J54" s="6" t="n">
        <v>-0.05671098726619628</v>
      </c>
      <c r="K54" s="6" t="n">
        <v>-0.1308846773044676</v>
      </c>
      <c r="L54" s="6" t="n">
        <v>-0.1308656024909379</v>
      </c>
      <c r="M54" s="6" t="n">
        <v>-0.1438655567318856</v>
      </c>
      <c r="N54" s="6" t="n">
        <v>-0.02845497238170591</v>
      </c>
      <c r="O54" s="6" t="n">
        <v>0.9194491117881927</v>
      </c>
      <c r="P54" s="6" t="n">
        <v>0.2427741203332023</v>
      </c>
    </row>
    <row r="55">
      <c r="A55" s="3" t="n">
        <v>54</v>
      </c>
      <c r="B55" s="8" t="n">
        <v>14</v>
      </c>
      <c r="C55" s="3" t="inlineStr">
        <is>
          <t>AWAY</t>
        </is>
      </c>
      <c r="D55" s="3" t="inlineStr">
        <is>
          <t>Travel Tech &amp; Bookings</t>
        </is>
      </c>
      <c r="E55" s="3" t="inlineStr">
        <is>
          <t>Consumer Discretionary</t>
        </is>
      </c>
      <c r="F55" s="5" t="n">
        <v>16.71</v>
      </c>
      <c r="G55" s="6" t="n">
        <v>-0.009905219005554966</v>
      </c>
      <c r="H55" s="6" t="n">
        <v>0.004676816490132296</v>
      </c>
      <c r="I55" s="6" t="n">
        <v>-0.01072570362979952</v>
      </c>
      <c r="J55" s="6" t="n">
        <v>-0.0642330066562834</v>
      </c>
      <c r="K55" s="6" t="n">
        <v>-0.08548293181251976</v>
      </c>
      <c r="L55" s="6" t="n">
        <v>-0.02207144979253539</v>
      </c>
      <c r="M55" s="6" t="n">
        <v>-0.1775197183431748</v>
      </c>
      <c r="N55" s="6" t="n">
        <v>-0.2239598989147703</v>
      </c>
      <c r="O55" s="6" t="n">
        <v>0.05700514164401116</v>
      </c>
      <c r="P55" s="6" t="n">
        <v>0.01865166634760795</v>
      </c>
    </row>
    <row r="56">
      <c r="A56" s="3" t="n">
        <v>55</v>
      </c>
      <c r="B56" s="8" t="n">
        <v>12</v>
      </c>
      <c r="C56" s="3" t="inlineStr">
        <is>
          <t>FINX</t>
        </is>
      </c>
      <c r="D56" s="3" t="inlineStr">
        <is>
          <t>FinTech &amp; Digital Payments</t>
        </is>
      </c>
      <c r="E56" s="3" t="inlineStr">
        <is>
          <t>Technology</t>
        </is>
      </c>
      <c r="F56" s="5" t="n">
        <v>24.1</v>
      </c>
      <c r="G56" s="6" t="n">
        <v>-0.0328276310358806</v>
      </c>
      <c r="H56" s="6" t="n">
        <v>-0.02112105767823613</v>
      </c>
      <c r="I56" s="6" t="n">
        <v>-0.00659521211469849</v>
      </c>
      <c r="J56" s="6" t="n">
        <v>-0.09378053298037037</v>
      </c>
      <c r="K56" s="6" t="n">
        <v>-0.05453116524635659</v>
      </c>
      <c r="L56" s="6" t="n">
        <v>-0.02418383308935368</v>
      </c>
      <c r="M56" s="6" t="n">
        <v>-0.1846777892930015</v>
      </c>
      <c r="N56" s="6" t="n">
        <v>-0.2902815969788999</v>
      </c>
      <c r="O56" s="6" t="n">
        <v>0.2450716791134344</v>
      </c>
      <c r="P56" s="6" t="n">
        <v>0.07579978099348073</v>
      </c>
    </row>
    <row r="57">
      <c r="A57" s="3" t="n">
        <v>56</v>
      </c>
      <c r="B57" s="8" t="n">
        <v>11</v>
      </c>
      <c r="C57" s="3" t="inlineStr">
        <is>
          <t>XHB</t>
        </is>
      </c>
      <c r="D57" s="3" t="inlineStr">
        <is>
          <t>Homebuilders &amp; Residential Construction</t>
        </is>
      </c>
      <c r="E57" s="3" t="inlineStr">
        <is>
          <t>Consumer Discretionary</t>
        </is>
      </c>
      <c r="F57" s="5" t="n">
        <v>92.84</v>
      </c>
      <c r="G57" s="6" t="n">
        <v>-0.01891578746149325</v>
      </c>
      <c r="H57" s="6" t="n">
        <v>-0.0216039947828417</v>
      </c>
      <c r="I57" s="6" t="n">
        <v>-0.03321881164174278</v>
      </c>
      <c r="J57" s="6" t="n">
        <v>-0.04997306543459901</v>
      </c>
      <c r="K57" s="6" t="n">
        <v>-0.1368422919275651</v>
      </c>
      <c r="L57" s="6" t="n">
        <v>-0.1161480058949014</v>
      </c>
      <c r="M57" s="6" t="n">
        <v>-0.1766008318083289</v>
      </c>
      <c r="N57" s="6" t="n">
        <v>-0.1270527530635985</v>
      </c>
      <c r="O57" s="6" t="n">
        <v>0.2843095690040491</v>
      </c>
      <c r="P57" s="6" t="n">
        <v>0.08698422018859553</v>
      </c>
    </row>
    <row r="58">
      <c r="A58" s="3" t="n">
        <v>57</v>
      </c>
      <c r="B58" s="8" t="n">
        <v>9</v>
      </c>
      <c r="C58" s="3" t="inlineStr">
        <is>
          <t>ITB</t>
        </is>
      </c>
      <c r="D58" s="3" t="inlineStr">
        <is>
          <t>Home Construction</t>
        </is>
      </c>
      <c r="E58" s="3" t="inlineStr">
        <is>
          <t>Consumer Discretionary</t>
        </is>
      </c>
      <c r="F58" s="5" t="n">
        <v>83.39</v>
      </c>
      <c r="G58" s="6" t="n">
        <v>-0.01476843110838766</v>
      </c>
      <c r="H58" s="6" t="n">
        <v>-0.01546632356308408</v>
      </c>
      <c r="I58" s="6" t="n">
        <v>-0.04171451842623353</v>
      </c>
      <c r="J58" s="6" t="n">
        <v>-0.06613964244990223</v>
      </c>
      <c r="K58" s="6" t="n">
        <v>-0.1342104796226743</v>
      </c>
      <c r="L58" s="6" t="n">
        <v>-0.1189093013196255</v>
      </c>
      <c r="M58" s="6" t="n">
        <v>-0.2182901370233346</v>
      </c>
      <c r="N58" s="6" t="n">
        <v>-0.1823784548327451</v>
      </c>
      <c r="O58" s="6" t="n">
        <v>0.1428449840829098</v>
      </c>
      <c r="P58" s="6" t="n">
        <v>0.0455122094136069</v>
      </c>
    </row>
    <row r="59">
      <c r="A59" s="3" t="n">
        <v>58</v>
      </c>
      <c r="B59" s="8" t="n">
        <v>7</v>
      </c>
      <c r="C59" s="3" t="inlineStr">
        <is>
          <t>XAR</t>
        </is>
      </c>
      <c r="D59" s="3" t="inlineStr">
        <is>
          <t>Aerospace &amp; Defense (Equal Weight)</t>
        </is>
      </c>
      <c r="E59" s="3" t="inlineStr">
        <is>
          <t>Industrials</t>
        </is>
      </c>
      <c r="F59" s="5" t="n">
        <v>220.35</v>
      </c>
      <c r="G59" s="6" t="n">
        <v>-0.01135139413078856</v>
      </c>
      <c r="H59" s="6" t="n">
        <v>-0.02775323554126385</v>
      </c>
      <c r="I59" s="6" t="n">
        <v>-0.04713510874155402</v>
      </c>
      <c r="J59" s="6" t="n">
        <v>-0.09208673602443629</v>
      </c>
      <c r="K59" s="6" t="n">
        <v>-0.1729119558668215</v>
      </c>
      <c r="L59" s="6" t="n">
        <v>-0.2024137150179225</v>
      </c>
      <c r="M59" s="6" t="n">
        <v>-0.2278460044260403</v>
      </c>
      <c r="N59" s="6" t="n">
        <v>-0.103136024009684</v>
      </c>
      <c r="O59" s="6" t="n">
        <v>0.9390138498323</v>
      </c>
      <c r="P59" s="6" t="n">
        <v>0.2469823421527599</v>
      </c>
    </row>
    <row r="60">
      <c r="A60" s="3" t="n">
        <v>59</v>
      </c>
      <c r="B60" s="8" t="n">
        <v>6</v>
      </c>
      <c r="C60" s="3" t="inlineStr">
        <is>
          <t>BETZ</t>
        </is>
      </c>
      <c r="D60" s="3" t="inlineStr">
        <is>
          <t>Casinos, Gaming &amp; Sports Betting</t>
        </is>
      </c>
      <c r="E60" s="3" t="inlineStr">
        <is>
          <t>Consumer Discretionary</t>
        </is>
      </c>
      <c r="F60" s="5" t="n">
        <v>16.25</v>
      </c>
      <c r="G60" s="6" t="n">
        <v>-0.02460983500403791</v>
      </c>
      <c r="H60" s="6" t="n">
        <v>-0.01215810052666011</v>
      </c>
      <c r="I60" s="6" t="n">
        <v>-0.0006150202177779285</v>
      </c>
      <c r="J60" s="6" t="n">
        <v>-0.16068385162067</v>
      </c>
      <c r="K60" s="6" t="n">
        <v>-0.1623711175499969</v>
      </c>
      <c r="L60" s="6" t="n">
        <v>-0.1312947426776969</v>
      </c>
      <c r="M60" s="6" t="n">
        <v>-0.1850142599163671</v>
      </c>
      <c r="N60" s="6" t="n">
        <v>-0.2519051889436215</v>
      </c>
      <c r="O60" s="6" t="n">
        <v>0.1413603811965336</v>
      </c>
      <c r="P60" s="6" t="n">
        <v>0.04505929204157044</v>
      </c>
    </row>
    <row r="61">
      <c r="A61" s="3" t="n">
        <v>60</v>
      </c>
      <c r="B61" s="8" t="n">
        <v>4</v>
      </c>
      <c r="C61" s="3" t="inlineStr">
        <is>
          <t>TAN</t>
        </is>
      </c>
      <c r="D61" s="3" t="inlineStr">
        <is>
          <t>Solar Energy</t>
        </is>
      </c>
      <c r="E61" s="3" t="inlineStr">
        <is>
          <t>Energy</t>
        </is>
      </c>
      <c r="F61" s="5" t="n">
        <v>42.64</v>
      </c>
      <c r="G61" s="6" t="n">
        <v>-0.03920688680913298</v>
      </c>
      <c r="H61" s="6" t="n">
        <v>-0.02044565620506578</v>
      </c>
      <c r="I61" s="6" t="n">
        <v>-0.03024793709645068</v>
      </c>
      <c r="J61" s="6" t="n">
        <v>-0.07745568447650997</v>
      </c>
      <c r="K61" s="6" t="n">
        <v>-0.2265554405310989</v>
      </c>
      <c r="L61" s="6" t="n">
        <v>-0.2279558257638563</v>
      </c>
      <c r="M61" s="6" t="n">
        <v>-0.1718780734186584</v>
      </c>
      <c r="N61" s="6" t="n">
        <v>-0.09063766379443039</v>
      </c>
      <c r="O61" s="6" t="n">
        <v>-0.1125478607041329</v>
      </c>
      <c r="P61" s="6" t="n">
        <v>-0.03901860369243548</v>
      </c>
    </row>
    <row r="62">
      <c r="A62" s="3" t="n">
        <v>61</v>
      </c>
      <c r="B62" s="8" t="n">
        <v>3</v>
      </c>
      <c r="C62" s="3" t="inlineStr">
        <is>
          <t>URA</t>
        </is>
      </c>
      <c r="D62" s="3" t="inlineStr">
        <is>
          <t>Uranium &amp; Nuclear Energy</t>
        </is>
      </c>
      <c r="E62" s="3" t="inlineStr">
        <is>
          <t>Energy</t>
        </is>
      </c>
      <c r="F62" s="5" t="n">
        <v>35.54</v>
      </c>
      <c r="G62" s="6" t="n">
        <v>-0.04922418673116069</v>
      </c>
      <c r="H62" s="6" t="n">
        <v>-0.1099423830727945</v>
      </c>
      <c r="I62" s="6" t="n">
        <v>-0.1081555263143283</v>
      </c>
      <c r="J62" s="6" t="n">
        <v>-0.1576202400483551</v>
      </c>
      <c r="K62" s="6" t="n">
        <v>-0.1446449682764995</v>
      </c>
      <c r="L62" s="6" t="n">
        <v>-0.3274034668263199</v>
      </c>
      <c r="M62" s="6" t="n">
        <v>-0.3242061073890592</v>
      </c>
      <c r="N62" s="6" t="n">
        <v>-0.3462681047938783</v>
      </c>
      <c r="O62" s="6" t="n">
        <v>0.6045760895446171</v>
      </c>
      <c r="P62" s="6" t="n">
        <v>0.1707210811885025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38" customWidth="1" min="3" max="3"/>
    <col width="18" customWidth="1" min="4" max="4"/>
    <col width="24" customWidth="1" min="5" max="5"/>
    <col width="11" customWidth="1" min="6" max="6"/>
    <col width="18" customWidth="1" min="7" max="7"/>
    <col width="20" customWidth="1" min="8" max="8"/>
    <col width="41" customWidth="1" min="9" max="9"/>
    <col width="24" customWidth="1" min="10" max="10"/>
    <col width="27" customWidth="1" min="11" max="11"/>
  </cols>
  <sheetData>
    <row r="1">
      <c r="A1" s="9">
        <f>== IBD RELATIVE STRENGTH LEADERS &amp; LAGGARDS ===</f>
        <v/>
      </c>
    </row>
    <row r="2">
      <c r="A2" s="10" t="inlineStr">
        <is>
          <t>Top 10 - Rank</t>
        </is>
      </c>
      <c r="B2" s="10" t="inlineStr">
        <is>
          <t>Top 10 - Ticker</t>
        </is>
      </c>
      <c r="C2" s="10" t="inlineStr">
        <is>
          <t>Top 10 - Subgroup Name</t>
        </is>
      </c>
      <c r="D2" s="10" t="inlineStr">
        <is>
          <t>Top 10 - Sector</t>
        </is>
      </c>
      <c r="E2" s="10" t="inlineStr">
        <is>
          <t>Top 10 - IBD_RS_Rating</t>
        </is>
      </c>
      <c r="F2" t="inlineStr"/>
      <c r="G2" s="10" t="inlineStr">
        <is>
          <t>Bottom 10 - Rank</t>
        </is>
      </c>
      <c r="H2" s="10" t="inlineStr">
        <is>
          <t>Bottom 10 - Ticker</t>
        </is>
      </c>
      <c r="I2" s="10" t="inlineStr">
        <is>
          <t>Bottom 10 - Subgroup Name</t>
        </is>
      </c>
      <c r="J2" s="10" t="inlineStr">
        <is>
          <t>Bottom 10 - Sector</t>
        </is>
      </c>
      <c r="K2" s="10" t="inlineStr">
        <is>
          <t>Bottom 10 - IBD_RS_Rating</t>
        </is>
      </c>
    </row>
    <row r="3">
      <c r="A3" t="n">
        <v>1</v>
      </c>
      <c r="B3" t="inlineStr">
        <is>
          <t>IDNA</t>
        </is>
      </c>
      <c r="C3" t="inlineStr">
        <is>
          <t>Genomics &amp; Immunology</t>
        </is>
      </c>
      <c r="D3" t="inlineStr">
        <is>
          <t>Health Care</t>
        </is>
      </c>
      <c r="E3" t="n">
        <v>99</v>
      </c>
      <c r="F3" t="inlineStr"/>
      <c r="G3" t="n">
        <v>52</v>
      </c>
      <c r="H3" t="inlineStr">
        <is>
          <t>URA</t>
        </is>
      </c>
      <c r="I3" t="inlineStr">
        <is>
          <t>Uranium &amp; Nuclear Energy</t>
        </is>
      </c>
      <c r="J3" t="inlineStr">
        <is>
          <t>Energy</t>
        </is>
      </c>
      <c r="K3" t="n">
        <v>3</v>
      </c>
    </row>
    <row r="4">
      <c r="A4" t="n">
        <v>2</v>
      </c>
      <c r="B4" t="inlineStr">
        <is>
          <t>HACK</t>
        </is>
      </c>
      <c r="C4" t="inlineStr">
        <is>
          <t>Cybersecurity</t>
        </is>
      </c>
      <c r="D4" t="inlineStr">
        <is>
          <t>Technology</t>
        </is>
      </c>
      <c r="E4" t="n">
        <v>97</v>
      </c>
      <c r="F4" t="inlineStr"/>
      <c r="G4" t="n">
        <v>53</v>
      </c>
      <c r="H4" t="inlineStr">
        <is>
          <t>TAN</t>
        </is>
      </c>
      <c r="I4" t="inlineStr">
        <is>
          <t>Solar Energy</t>
        </is>
      </c>
      <c r="J4" t="inlineStr">
        <is>
          <t>Energy</t>
        </is>
      </c>
      <c r="K4" t="n">
        <v>4</v>
      </c>
    </row>
    <row r="5">
      <c r="A5" t="n">
        <v>3</v>
      </c>
      <c r="B5" t="inlineStr">
        <is>
          <t>XOP</t>
        </is>
      </c>
      <c r="C5" t="inlineStr">
        <is>
          <t>Oil &amp; Gas Exploration &amp; Production</t>
        </is>
      </c>
      <c r="D5" t="inlineStr">
        <is>
          <t>Energy</t>
        </is>
      </c>
      <c r="E5" t="n">
        <v>96</v>
      </c>
      <c r="F5" t="inlineStr"/>
      <c r="G5" t="n">
        <v>54</v>
      </c>
      <c r="H5" t="inlineStr">
        <is>
          <t>BETZ</t>
        </is>
      </c>
      <c r="I5" t="inlineStr">
        <is>
          <t>Casinos, Gaming &amp; Sports Betting</t>
        </is>
      </c>
      <c r="J5" t="inlineStr">
        <is>
          <t>Consumer Discretionary</t>
        </is>
      </c>
      <c r="K5" t="n">
        <v>6</v>
      </c>
    </row>
    <row r="6">
      <c r="A6" t="n">
        <v>4</v>
      </c>
      <c r="B6" t="inlineStr">
        <is>
          <t>CIBR</t>
        </is>
      </c>
      <c r="C6" t="inlineStr">
        <is>
          <t>Cybersecurity Leaders</t>
        </is>
      </c>
      <c r="D6" t="inlineStr">
        <is>
          <t>Technology</t>
        </is>
      </c>
      <c r="E6" t="n">
        <v>94</v>
      </c>
      <c r="F6" t="inlineStr"/>
      <c r="G6" t="n">
        <v>55</v>
      </c>
      <c r="H6" t="inlineStr">
        <is>
          <t>XAR</t>
        </is>
      </c>
      <c r="I6" t="inlineStr">
        <is>
          <t>Aerospace &amp; Defense (Equal Weight)</t>
        </is>
      </c>
      <c r="J6" t="inlineStr">
        <is>
          <t>Industrials</t>
        </is>
      </c>
      <c r="K6" t="n">
        <v>7</v>
      </c>
    </row>
    <row r="7">
      <c r="A7" t="n">
        <v>5</v>
      </c>
      <c r="B7" t="inlineStr">
        <is>
          <t>CLOU</t>
        </is>
      </c>
      <c r="C7" t="inlineStr">
        <is>
          <t>Cloud Computing &amp; SaaS</t>
        </is>
      </c>
      <c r="D7" t="inlineStr">
        <is>
          <t>Technology</t>
        </is>
      </c>
      <c r="E7" t="n">
        <v>93</v>
      </c>
      <c r="F7" t="inlineStr"/>
      <c r="G7" t="n">
        <v>56</v>
      </c>
      <c r="H7" t="inlineStr">
        <is>
          <t>ITB</t>
        </is>
      </c>
      <c r="I7" t="inlineStr">
        <is>
          <t>Home Construction</t>
        </is>
      </c>
      <c r="J7" t="inlineStr">
        <is>
          <t>Consumer Discretionary</t>
        </is>
      </c>
      <c r="K7" t="n">
        <v>9</v>
      </c>
    </row>
    <row r="8">
      <c r="A8" t="n">
        <v>6</v>
      </c>
      <c r="B8" t="inlineStr">
        <is>
          <t>SMH</t>
        </is>
      </c>
      <c r="C8" t="inlineStr">
        <is>
          <t>Semiconductor Manufacturers</t>
        </is>
      </c>
      <c r="D8" t="inlineStr">
        <is>
          <t>Technology</t>
        </is>
      </c>
      <c r="E8" t="n">
        <v>91</v>
      </c>
      <c r="F8" t="inlineStr"/>
      <c r="G8" t="n">
        <v>57</v>
      </c>
      <c r="H8" t="inlineStr">
        <is>
          <t>XHB</t>
        </is>
      </c>
      <c r="I8" t="inlineStr">
        <is>
          <t>Homebuilders &amp; Residential Construction</t>
        </is>
      </c>
      <c r="J8" t="inlineStr">
        <is>
          <t>Consumer Discretionary</t>
        </is>
      </c>
      <c r="K8" t="n">
        <v>11</v>
      </c>
    </row>
    <row r="9">
      <c r="A9" t="n">
        <v>7</v>
      </c>
      <c r="B9" t="inlineStr">
        <is>
          <t>NXTG</t>
        </is>
      </c>
      <c r="C9" t="inlineStr">
        <is>
          <t>NextGen 5G &amp; Telecom Infrastructure</t>
        </is>
      </c>
      <c r="D9" t="inlineStr">
        <is>
          <t>Communication</t>
        </is>
      </c>
      <c r="E9" t="n">
        <v>89</v>
      </c>
      <c r="F9" t="inlineStr"/>
      <c r="G9" t="n">
        <v>58</v>
      </c>
      <c r="H9" t="inlineStr">
        <is>
          <t>FINX</t>
        </is>
      </c>
      <c r="I9" t="inlineStr">
        <is>
          <t>FinTech &amp; Digital Payments</t>
        </is>
      </c>
      <c r="J9" t="inlineStr">
        <is>
          <t>Technology</t>
        </is>
      </c>
      <c r="K9" t="n">
        <v>12</v>
      </c>
    </row>
    <row r="10">
      <c r="A10" t="n">
        <v>8</v>
      </c>
      <c r="B10" t="inlineStr">
        <is>
          <t>FCG</t>
        </is>
      </c>
      <c r="C10" t="inlineStr">
        <is>
          <t>Natural Gas Producers</t>
        </is>
      </c>
      <c r="D10" t="inlineStr">
        <is>
          <t>Energy</t>
        </is>
      </c>
      <c r="E10" t="n">
        <v>88</v>
      </c>
      <c r="F10" t="inlineStr"/>
      <c r="G10" t="n">
        <v>59</v>
      </c>
      <c r="H10" t="inlineStr">
        <is>
          <t>AWAY</t>
        </is>
      </c>
      <c r="I10" t="inlineStr">
        <is>
          <t>Travel Tech &amp; Bookings</t>
        </is>
      </c>
      <c r="J10" t="inlineStr">
        <is>
          <t>Consumer Discretionary</t>
        </is>
      </c>
      <c r="K10" t="n">
        <v>14</v>
      </c>
    </row>
    <row r="11">
      <c r="A11" t="n">
        <v>9</v>
      </c>
      <c r="B11" t="inlineStr">
        <is>
          <t>BDRY</t>
        </is>
      </c>
      <c r="C11" t="inlineStr">
        <is>
          <t>Dry Bulk Shipping &amp; Maritime Freight</t>
        </is>
      </c>
      <c r="D11" t="inlineStr">
        <is>
          <t>Industrials</t>
        </is>
      </c>
      <c r="E11" t="n">
        <v>86</v>
      </c>
      <c r="F11" t="inlineStr"/>
      <c r="G11" t="n">
        <v>60</v>
      </c>
      <c r="H11" t="inlineStr">
        <is>
          <t>ITA</t>
        </is>
      </c>
      <c r="I11" t="inlineStr">
        <is>
          <t>Aerospace &amp; Defense</t>
        </is>
      </c>
      <c r="J11" t="inlineStr">
        <is>
          <t>Industrials</t>
        </is>
      </c>
      <c r="K11" t="n">
        <v>15</v>
      </c>
    </row>
    <row r="12">
      <c r="A12" t="n">
        <v>10</v>
      </c>
      <c r="B12" t="inlineStr">
        <is>
          <t>IBB</t>
        </is>
      </c>
      <c r="C12" t="inlineStr">
        <is>
          <t>Biotechnology (Market Weight)</t>
        </is>
      </c>
      <c r="D12" t="inlineStr">
        <is>
          <t>Health Care</t>
        </is>
      </c>
      <c r="E12" t="n">
        <v>85</v>
      </c>
      <c r="F12" t="inlineStr"/>
      <c r="G12" t="n">
        <v>61</v>
      </c>
      <c r="H12" t="inlineStr">
        <is>
          <t>XME</t>
        </is>
      </c>
      <c r="I12" t="inlineStr">
        <is>
          <t>Metals &amp; Mining</t>
        </is>
      </c>
      <c r="J12" t="inlineStr">
        <is>
          <t>Materials</t>
        </is>
      </c>
      <c r="K12" t="n">
        <v>17</v>
      </c>
    </row>
    <row r="13"/>
    <row r="14"/>
    <row r="15">
      <c r="A15" s="9">
        <f>== PAST 1 MONTH LEADERS &amp; LAGGARDS ===</f>
        <v/>
      </c>
    </row>
    <row r="16">
      <c r="A16" s="10" t="inlineStr">
        <is>
          <t>Top 10 - Rank</t>
        </is>
      </c>
      <c r="B16" s="10" t="inlineStr">
        <is>
          <t>Top 10 - Ticker</t>
        </is>
      </c>
      <c r="C16" s="10" t="inlineStr">
        <is>
          <t>Top 10 - Subgroup Name</t>
        </is>
      </c>
      <c r="D16" s="10" t="inlineStr">
        <is>
          <t>Top 10 - Sector</t>
        </is>
      </c>
      <c r="E16" s="10" t="inlineStr">
        <is>
          <t>Top 10 - 1M</t>
        </is>
      </c>
      <c r="F16" t="inlineStr"/>
      <c r="G16" s="10" t="inlineStr">
        <is>
          <t>Bottom 10 - Rank</t>
        </is>
      </c>
      <c r="H16" s="10" t="inlineStr">
        <is>
          <t>Bottom 10 - Ticker</t>
        </is>
      </c>
      <c r="I16" s="10" t="inlineStr">
        <is>
          <t>Bottom 10 - Subgroup Name</t>
        </is>
      </c>
      <c r="J16" s="10" t="inlineStr">
        <is>
          <t>Bottom 10 - Sector</t>
        </is>
      </c>
      <c r="K16" s="10" t="inlineStr">
        <is>
          <t>Bottom 10 - 1M</t>
        </is>
      </c>
    </row>
    <row r="17">
      <c r="A17" t="n">
        <v>1</v>
      </c>
      <c r="B17" t="inlineStr">
        <is>
          <t>IDNA</t>
        </is>
      </c>
      <c r="C17" t="inlineStr">
        <is>
          <t>Genomics &amp; Immunology</t>
        </is>
      </c>
      <c r="D17" t="inlineStr">
        <is>
          <t>Health Care</t>
        </is>
      </c>
      <c r="E17" s="11" t="n">
        <v>0.06556522949873567</v>
      </c>
      <c r="F17" t="inlineStr"/>
      <c r="G17" t="n">
        <v>52</v>
      </c>
      <c r="H17" t="inlineStr">
        <is>
          <t>BDRY</t>
        </is>
      </c>
      <c r="I17" t="inlineStr">
        <is>
          <t>Dry Bulk Shipping &amp; Maritime Freight</t>
        </is>
      </c>
      <c r="J17" t="inlineStr">
        <is>
          <t>Industrials</t>
        </is>
      </c>
      <c r="K17" s="11" t="n">
        <v>-0.1777777930144043</v>
      </c>
    </row>
    <row r="18">
      <c r="A18" t="n">
        <v>2</v>
      </c>
      <c r="B18" t="inlineStr">
        <is>
          <t>SMH</t>
        </is>
      </c>
      <c r="C18" t="inlineStr">
        <is>
          <t>Semiconductor Manufacturers</t>
        </is>
      </c>
      <c r="D18" t="inlineStr">
        <is>
          <t>Technology</t>
        </is>
      </c>
      <c r="E18" s="11" t="n">
        <v>0.04291780283356417</v>
      </c>
      <c r="F18" t="inlineStr"/>
      <c r="G18" t="n">
        <v>53</v>
      </c>
      <c r="H18" t="inlineStr">
        <is>
          <t>BETZ</t>
        </is>
      </c>
      <c r="I18" t="inlineStr">
        <is>
          <t>Casinos, Gaming &amp; Sports Betting</t>
        </is>
      </c>
      <c r="J18" t="inlineStr">
        <is>
          <t>Consumer Discretionary</t>
        </is>
      </c>
      <c r="K18" s="11" t="n">
        <v>-0.16068385162067</v>
      </c>
    </row>
    <row r="19">
      <c r="A19" t="n">
        <v>3</v>
      </c>
      <c r="B19" t="inlineStr">
        <is>
          <t>CIBR</t>
        </is>
      </c>
      <c r="C19" t="inlineStr">
        <is>
          <t>Cybersecurity Leaders</t>
        </is>
      </c>
      <c r="D19" t="inlineStr">
        <is>
          <t>Technology</t>
        </is>
      </c>
      <c r="E19" s="11" t="n">
        <v>0.036911394899376</v>
      </c>
      <c r="F19" t="inlineStr"/>
      <c r="G19" t="n">
        <v>54</v>
      </c>
      <c r="H19" t="inlineStr">
        <is>
          <t>URA</t>
        </is>
      </c>
      <c r="I19" t="inlineStr">
        <is>
          <t>Uranium &amp; Nuclear Energy</t>
        </is>
      </c>
      <c r="J19" t="inlineStr">
        <is>
          <t>Energy</t>
        </is>
      </c>
      <c r="K19" s="11" t="n">
        <v>-0.1576202400483551</v>
      </c>
    </row>
    <row r="20">
      <c r="A20" t="n">
        <v>4</v>
      </c>
      <c r="B20" t="inlineStr">
        <is>
          <t>HACK</t>
        </is>
      </c>
      <c r="C20" t="inlineStr">
        <is>
          <t>Cybersecurity</t>
        </is>
      </c>
      <c r="D20" t="inlineStr">
        <is>
          <t>Technology</t>
        </is>
      </c>
      <c r="E20" s="11" t="n">
        <v>0.03213567195044287</v>
      </c>
      <c r="F20" t="inlineStr"/>
      <c r="G20" t="n">
        <v>55</v>
      </c>
      <c r="H20" t="inlineStr">
        <is>
          <t>SIL</t>
        </is>
      </c>
      <c r="I20" t="inlineStr">
        <is>
          <t>Silver Miners</t>
        </is>
      </c>
      <c r="J20" t="inlineStr">
        <is>
          <t>Materials</t>
        </is>
      </c>
      <c r="K20" s="11" t="n">
        <v>-0.1473142313529926</v>
      </c>
    </row>
    <row r="21">
      <c r="A21" t="n">
        <v>5</v>
      </c>
      <c r="B21" t="inlineStr">
        <is>
          <t>XOP</t>
        </is>
      </c>
      <c r="C21" t="inlineStr">
        <is>
          <t>Oil &amp; Gas Exploration &amp; Production</t>
        </is>
      </c>
      <c r="D21" t="inlineStr">
        <is>
          <t>Energy</t>
        </is>
      </c>
      <c r="E21" s="11" t="n">
        <v>0.0266648032151664</v>
      </c>
      <c r="F21" t="inlineStr"/>
      <c r="G21" t="n">
        <v>56</v>
      </c>
      <c r="H21" t="inlineStr">
        <is>
          <t>GDX</t>
        </is>
      </c>
      <c r="I21" t="inlineStr">
        <is>
          <t>Gold Miners</t>
        </is>
      </c>
      <c r="J21" t="inlineStr">
        <is>
          <t>Materials</t>
        </is>
      </c>
      <c r="K21" s="11" t="n">
        <v>-0.1140853827639868</v>
      </c>
    </row>
    <row r="22">
      <c r="A22" t="n">
        <v>6</v>
      </c>
      <c r="B22" t="inlineStr">
        <is>
          <t>IYK</t>
        </is>
      </c>
      <c r="C22" t="inlineStr">
        <is>
          <t>Consumer Staples Products</t>
        </is>
      </c>
      <c r="D22" t="inlineStr">
        <is>
          <t>Consumer Staples</t>
        </is>
      </c>
      <c r="E22" s="11" t="n">
        <v>0.02443112460516184</v>
      </c>
      <c r="F22" t="inlineStr"/>
      <c r="G22" t="n">
        <v>57</v>
      </c>
      <c r="H22" t="inlineStr">
        <is>
          <t>FINX</t>
        </is>
      </c>
      <c r="I22" t="inlineStr">
        <is>
          <t>FinTech &amp; Digital Payments</t>
        </is>
      </c>
      <c r="J22" t="inlineStr">
        <is>
          <t>Technology</t>
        </is>
      </c>
      <c r="K22" s="11" t="n">
        <v>-0.09378053298037037</v>
      </c>
    </row>
    <row r="23">
      <c r="A23" t="n">
        <v>7</v>
      </c>
      <c r="B23" t="inlineStr">
        <is>
          <t>CLOU</t>
        </is>
      </c>
      <c r="C23" t="inlineStr">
        <is>
          <t>Cloud Computing &amp; SaaS</t>
        </is>
      </c>
      <c r="D23" t="inlineStr">
        <is>
          <t>Technology</t>
        </is>
      </c>
      <c r="E23" s="11" t="n">
        <v>0.01869484205168814</v>
      </c>
      <c r="F23" t="inlineStr"/>
      <c r="G23" t="n">
        <v>58</v>
      </c>
      <c r="H23" t="inlineStr">
        <is>
          <t>XME</t>
        </is>
      </c>
      <c r="I23" t="inlineStr">
        <is>
          <t>Metals &amp; Mining</t>
        </is>
      </c>
      <c r="J23" t="inlineStr">
        <is>
          <t>Materials</t>
        </is>
      </c>
      <c r="K23" s="11" t="n">
        <v>-0.09297340501575035</v>
      </c>
    </row>
    <row r="24">
      <c r="A24" t="n">
        <v>8</v>
      </c>
      <c r="B24" t="inlineStr">
        <is>
          <t>IHI</t>
        </is>
      </c>
      <c r="C24" t="inlineStr">
        <is>
          <t>Medical Devices &amp; Equipment</t>
        </is>
      </c>
      <c r="D24" t="inlineStr">
        <is>
          <t>Health Care</t>
        </is>
      </c>
      <c r="E24" s="11" t="n">
        <v>0.01798018278925451</v>
      </c>
      <c r="F24" t="inlineStr"/>
      <c r="G24" t="n">
        <v>59</v>
      </c>
      <c r="H24" t="inlineStr">
        <is>
          <t>XAR</t>
        </is>
      </c>
      <c r="I24" t="inlineStr">
        <is>
          <t>Aerospace &amp; Defense (Equal Weight)</t>
        </is>
      </c>
      <c r="J24" t="inlineStr">
        <is>
          <t>Industrials</t>
        </is>
      </c>
      <c r="K24" s="11" t="n">
        <v>-0.09208673602443629</v>
      </c>
    </row>
    <row r="25">
      <c r="A25" t="n">
        <v>9</v>
      </c>
      <c r="B25" t="inlineStr">
        <is>
          <t>XSD</t>
        </is>
      </c>
      <c r="C25" t="inlineStr">
        <is>
          <t>Semiconductors - Equal Weight</t>
        </is>
      </c>
      <c r="D25" t="inlineStr">
        <is>
          <t>Technology</t>
        </is>
      </c>
      <c r="E25" s="11" t="n">
        <v>0.01739365910450452</v>
      </c>
      <c r="F25" t="inlineStr"/>
      <c r="G25" t="n">
        <v>60</v>
      </c>
      <c r="H25" t="inlineStr">
        <is>
          <t>XPH</t>
        </is>
      </c>
      <c r="I25" t="inlineStr">
        <is>
          <t>Pharmaceuticals</t>
        </is>
      </c>
      <c r="J25" t="inlineStr">
        <is>
          <t>Health Care</t>
        </is>
      </c>
      <c r="K25" s="11" t="n">
        <v>-0.08528766764426954</v>
      </c>
    </row>
    <row r="26">
      <c r="A26" t="n">
        <v>10</v>
      </c>
      <c r="B26" t="inlineStr">
        <is>
          <t>IHF</t>
        </is>
      </c>
      <c r="C26" t="inlineStr">
        <is>
          <t>Health Care Providers &amp; Managed Care</t>
        </is>
      </c>
      <c r="D26" t="inlineStr">
        <is>
          <t>Health Care</t>
        </is>
      </c>
      <c r="E26" s="11" t="n">
        <v>0.01534233205889213</v>
      </c>
      <c r="F26" t="inlineStr"/>
      <c r="G26" t="n">
        <v>61</v>
      </c>
      <c r="H26" t="inlineStr">
        <is>
          <t>JETS</t>
        </is>
      </c>
      <c r="I26" t="inlineStr">
        <is>
          <t>Airlines</t>
        </is>
      </c>
      <c r="J26" t="inlineStr">
        <is>
          <t>Industrials</t>
        </is>
      </c>
      <c r="K26" s="11" t="n">
        <v>-0.08303761984552238</v>
      </c>
    </row>
    <row r="27"/>
    <row r="28"/>
    <row r="29">
      <c r="A29" s="9">
        <f>== PAST 3 MONTHS LEADERS &amp; LAGGARDS ===</f>
        <v/>
      </c>
    </row>
    <row r="30">
      <c r="A30" s="10" t="inlineStr">
        <is>
          <t>Top 10 - Rank</t>
        </is>
      </c>
      <c r="B30" s="10" t="inlineStr">
        <is>
          <t>Top 10 - Ticker</t>
        </is>
      </c>
      <c r="C30" s="10" t="inlineStr">
        <is>
          <t>Top 10 - Subgroup Name</t>
        </is>
      </c>
      <c r="D30" s="10" t="inlineStr">
        <is>
          <t>Top 10 - Sector</t>
        </is>
      </c>
      <c r="E30" s="10" t="inlineStr">
        <is>
          <t>Top 10 - 3M</t>
        </is>
      </c>
      <c r="F30" t="inlineStr"/>
      <c r="G30" s="10" t="inlineStr">
        <is>
          <t>Bottom 10 - Rank</t>
        </is>
      </c>
      <c r="H30" s="10" t="inlineStr">
        <is>
          <t>Bottom 10 - Ticker</t>
        </is>
      </c>
      <c r="I30" s="10" t="inlineStr">
        <is>
          <t>Bottom 10 - Subgroup Name</t>
        </is>
      </c>
      <c r="J30" s="10" t="inlineStr">
        <is>
          <t>Bottom 10 - Sector</t>
        </is>
      </c>
      <c r="K30" s="10" t="inlineStr">
        <is>
          <t>Bottom 10 - 3M</t>
        </is>
      </c>
    </row>
    <row r="31">
      <c r="A31" t="n">
        <v>1</v>
      </c>
      <c r="B31" t="inlineStr">
        <is>
          <t>IDNA</t>
        </is>
      </c>
      <c r="C31" t="inlineStr">
        <is>
          <t>Genomics &amp; Immunology</t>
        </is>
      </c>
      <c r="D31" t="inlineStr">
        <is>
          <t>Health Care</t>
        </is>
      </c>
      <c r="E31" s="11" t="n">
        <v>0.2577696271522762</v>
      </c>
      <c r="F31" t="inlineStr"/>
      <c r="G31" t="n">
        <v>52</v>
      </c>
      <c r="H31" t="inlineStr">
        <is>
          <t>TAN</t>
        </is>
      </c>
      <c r="I31" t="inlineStr">
        <is>
          <t>Solar Energy</t>
        </is>
      </c>
      <c r="J31" t="inlineStr">
        <is>
          <t>Energy</t>
        </is>
      </c>
      <c r="K31" s="11" t="n">
        <v>-0.2265554405310989</v>
      </c>
    </row>
    <row r="32">
      <c r="A32" t="n">
        <v>2</v>
      </c>
      <c r="B32" t="inlineStr">
        <is>
          <t>XOP</t>
        </is>
      </c>
      <c r="C32" t="inlineStr">
        <is>
          <t>Oil &amp; Gas Exploration &amp; Production</t>
        </is>
      </c>
      <c r="D32" t="inlineStr">
        <is>
          <t>Energy</t>
        </is>
      </c>
      <c r="E32" s="11" t="n">
        <v>0.1976414144493155</v>
      </c>
      <c r="F32" t="inlineStr"/>
      <c r="G32" t="n">
        <v>53</v>
      </c>
      <c r="H32" t="inlineStr">
        <is>
          <t>XAR</t>
        </is>
      </c>
      <c r="I32" t="inlineStr">
        <is>
          <t>Aerospace &amp; Defense (Equal Weight)</t>
        </is>
      </c>
      <c r="J32" t="inlineStr">
        <is>
          <t>Industrials</t>
        </is>
      </c>
      <c r="K32" s="11" t="n">
        <v>-0.1729119558668215</v>
      </c>
    </row>
    <row r="33">
      <c r="A33" t="n">
        <v>3</v>
      </c>
      <c r="B33" t="inlineStr">
        <is>
          <t>CLOU</t>
        </is>
      </c>
      <c r="C33" t="inlineStr">
        <is>
          <t>Cloud Computing &amp; SaaS</t>
        </is>
      </c>
      <c r="D33" t="inlineStr">
        <is>
          <t>Technology</t>
        </is>
      </c>
      <c r="E33" s="11" t="n">
        <v>0.1904368873988962</v>
      </c>
      <c r="F33" t="inlineStr"/>
      <c r="G33" t="n">
        <v>54</v>
      </c>
      <c r="H33" t="inlineStr">
        <is>
          <t>JETS</t>
        </is>
      </c>
      <c r="I33" t="inlineStr">
        <is>
          <t>Airlines</t>
        </is>
      </c>
      <c r="J33" t="inlineStr">
        <is>
          <t>Industrials</t>
        </is>
      </c>
      <c r="K33" s="11" t="n">
        <v>-0.16239870881464</v>
      </c>
    </row>
    <row r="34">
      <c r="A34" t="n">
        <v>4</v>
      </c>
      <c r="B34" t="inlineStr">
        <is>
          <t>IGV</t>
        </is>
      </c>
      <c r="C34" t="inlineStr">
        <is>
          <t>Software &amp; Cloud Applications</t>
        </is>
      </c>
      <c r="D34" t="inlineStr">
        <is>
          <t>Technology</t>
        </is>
      </c>
      <c r="E34" s="11" t="n">
        <v>0.1497383817550966</v>
      </c>
      <c r="F34" t="inlineStr"/>
      <c r="G34" t="n">
        <v>55</v>
      </c>
      <c r="H34" t="inlineStr">
        <is>
          <t>BETZ</t>
        </is>
      </c>
      <c r="I34" t="inlineStr">
        <is>
          <t>Casinos, Gaming &amp; Sports Betting</t>
        </is>
      </c>
      <c r="J34" t="inlineStr">
        <is>
          <t>Consumer Discretionary</t>
        </is>
      </c>
      <c r="K34" s="11" t="n">
        <v>-0.1623711175499969</v>
      </c>
    </row>
    <row r="35">
      <c r="A35" t="n">
        <v>5</v>
      </c>
      <c r="B35" t="inlineStr">
        <is>
          <t>FCG</t>
        </is>
      </c>
      <c r="C35" t="inlineStr">
        <is>
          <t>Natural Gas Producers</t>
        </is>
      </c>
      <c r="D35" t="inlineStr">
        <is>
          <t>Energy</t>
        </is>
      </c>
      <c r="E35" s="11" t="n">
        <v>0.1144010176991705</v>
      </c>
      <c r="F35" t="inlineStr"/>
      <c r="G35" t="n">
        <v>56</v>
      </c>
      <c r="H35" t="inlineStr">
        <is>
          <t>XTN</t>
        </is>
      </c>
      <c r="I35" t="inlineStr">
        <is>
          <t>Trucking &amp; Logistics</t>
        </is>
      </c>
      <c r="J35" t="inlineStr">
        <is>
          <t>Industrials</t>
        </is>
      </c>
      <c r="K35" s="11" t="n">
        <v>-0.1474184686121318</v>
      </c>
    </row>
    <row r="36">
      <c r="A36" t="n">
        <v>6</v>
      </c>
      <c r="B36" t="inlineStr">
        <is>
          <t>GDX</t>
        </is>
      </c>
      <c r="C36" t="inlineStr">
        <is>
          <t>Gold Miners</t>
        </is>
      </c>
      <c r="D36" t="inlineStr">
        <is>
          <t>Materials</t>
        </is>
      </c>
      <c r="E36" s="11" t="n">
        <v>0.1137821125129921</v>
      </c>
      <c r="F36" t="inlineStr"/>
      <c r="G36" t="n">
        <v>57</v>
      </c>
      <c r="H36" t="inlineStr">
        <is>
          <t>URA</t>
        </is>
      </c>
      <c r="I36" t="inlineStr">
        <is>
          <t>Uranium &amp; Nuclear Energy</t>
        </is>
      </c>
      <c r="J36" t="inlineStr">
        <is>
          <t>Energy</t>
        </is>
      </c>
      <c r="K36" s="11" t="n">
        <v>-0.1446449682764995</v>
      </c>
    </row>
    <row r="37">
      <c r="A37" t="n">
        <v>7</v>
      </c>
      <c r="B37" t="inlineStr">
        <is>
          <t>CIBR</t>
        </is>
      </c>
      <c r="C37" t="inlineStr">
        <is>
          <t>Cybersecurity Leaders</t>
        </is>
      </c>
      <c r="D37" t="inlineStr">
        <is>
          <t>Technology</t>
        </is>
      </c>
      <c r="E37" s="11" t="n">
        <v>0.09514393940187138</v>
      </c>
      <c r="F37" t="inlineStr"/>
      <c r="G37" t="n">
        <v>58</v>
      </c>
      <c r="H37" t="inlineStr">
        <is>
          <t>XHB</t>
        </is>
      </c>
      <c r="I37" t="inlineStr">
        <is>
          <t>Homebuilders &amp; Residential Construction</t>
        </is>
      </c>
      <c r="J37" t="inlineStr">
        <is>
          <t>Consumer Discretionary</t>
        </is>
      </c>
      <c r="K37" s="11" t="n">
        <v>-0.1368422919275651</v>
      </c>
    </row>
    <row r="38">
      <c r="A38" t="n">
        <v>8</v>
      </c>
      <c r="B38" t="inlineStr">
        <is>
          <t>IBB</t>
        </is>
      </c>
      <c r="C38" t="inlineStr">
        <is>
          <t>Biotechnology (Market Weight)</t>
        </is>
      </c>
      <c r="D38" t="inlineStr">
        <is>
          <t>Health Care</t>
        </is>
      </c>
      <c r="E38" s="11" t="n">
        <v>0.07733573859358911</v>
      </c>
      <c r="F38" t="inlineStr"/>
      <c r="G38" t="n">
        <v>59</v>
      </c>
      <c r="H38" t="inlineStr">
        <is>
          <t>ITB</t>
        </is>
      </c>
      <c r="I38" t="inlineStr">
        <is>
          <t>Home Construction</t>
        </is>
      </c>
      <c r="J38" t="inlineStr">
        <is>
          <t>Consumer Discretionary</t>
        </is>
      </c>
      <c r="K38" s="11" t="n">
        <v>-0.1342104796226743</v>
      </c>
    </row>
    <row r="39">
      <c r="A39" t="n">
        <v>9</v>
      </c>
      <c r="B39" t="inlineStr">
        <is>
          <t>IHI</t>
        </is>
      </c>
      <c r="C39" t="inlineStr">
        <is>
          <t>Medical Devices &amp; Equipment</t>
        </is>
      </c>
      <c r="D39" t="inlineStr">
        <is>
          <t>Health Care</t>
        </is>
      </c>
      <c r="E39" s="11" t="n">
        <v>0.0725813744534769</v>
      </c>
      <c r="F39" t="inlineStr"/>
      <c r="G39" t="n">
        <v>60</v>
      </c>
      <c r="H39" t="inlineStr">
        <is>
          <t>ITA</t>
        </is>
      </c>
      <c r="I39" t="inlineStr">
        <is>
          <t>Aerospace &amp; Defense</t>
        </is>
      </c>
      <c r="J39" t="inlineStr">
        <is>
          <t>Industrials</t>
        </is>
      </c>
      <c r="K39" s="11" t="n">
        <v>-0.1308846773044676</v>
      </c>
    </row>
    <row r="40">
      <c r="A40" t="n">
        <v>10</v>
      </c>
      <c r="B40" t="inlineStr">
        <is>
          <t>HACK</t>
        </is>
      </c>
      <c r="C40" t="inlineStr">
        <is>
          <t>Cybersecurity</t>
        </is>
      </c>
      <c r="D40" t="inlineStr">
        <is>
          <t>Technology</t>
        </is>
      </c>
      <c r="E40" s="11" t="n">
        <v>0.07069736430422013</v>
      </c>
      <c r="F40" t="inlineStr"/>
      <c r="G40" t="n">
        <v>61</v>
      </c>
      <c r="H40" t="inlineStr">
        <is>
          <t>ICLN</t>
        </is>
      </c>
      <c r="I40" t="inlineStr">
        <is>
          <t>Clean &amp; Renewable Energy</t>
        </is>
      </c>
      <c r="J40" t="inlineStr">
        <is>
          <t>Energy</t>
        </is>
      </c>
      <c r="K40" s="11" t="n">
        <v>-0.1274252933436232</v>
      </c>
    </row>
    <row r="41"/>
    <row r="42"/>
    <row r="43">
      <c r="A43" s="9">
        <f>== PAST 6 MONTHS LEADERS &amp; LAGGARDS ===</f>
        <v/>
      </c>
    </row>
    <row r="44">
      <c r="A44" s="10" t="inlineStr">
        <is>
          <t>Top 10 - Rank</t>
        </is>
      </c>
      <c r="B44" s="10" t="inlineStr">
        <is>
          <t>Top 10 - Ticker</t>
        </is>
      </c>
      <c r="C44" s="10" t="inlineStr">
        <is>
          <t>Top 10 - Subgroup Name</t>
        </is>
      </c>
      <c r="D44" s="10" t="inlineStr">
        <is>
          <t>Top 10 - Sector</t>
        </is>
      </c>
      <c r="E44" s="10" t="inlineStr">
        <is>
          <t>Top 10 - 6M</t>
        </is>
      </c>
      <c r="F44" t="inlineStr"/>
      <c r="G44" s="10" t="inlineStr">
        <is>
          <t>Bottom 10 - Rank</t>
        </is>
      </c>
      <c r="H44" s="10" t="inlineStr">
        <is>
          <t>Bottom 10 - Ticker</t>
        </is>
      </c>
      <c r="I44" s="10" t="inlineStr">
        <is>
          <t>Bottom 10 - Subgroup Name</t>
        </is>
      </c>
      <c r="J44" s="10" t="inlineStr">
        <is>
          <t>Bottom 10 - Sector</t>
        </is>
      </c>
      <c r="K44" s="10" t="inlineStr">
        <is>
          <t>Bottom 10 - 6M</t>
        </is>
      </c>
    </row>
    <row r="45">
      <c r="A45" t="n">
        <v>1</v>
      </c>
      <c r="B45" t="inlineStr">
        <is>
          <t>HACK</t>
        </is>
      </c>
      <c r="C45" t="inlineStr">
        <is>
          <t>Cybersecurity</t>
        </is>
      </c>
      <c r="D45" t="inlineStr">
        <is>
          <t>Technology</t>
        </is>
      </c>
      <c r="E45" s="11" t="n">
        <v>0.6653510772469931</v>
      </c>
      <c r="F45" t="inlineStr"/>
      <c r="G45" t="n">
        <v>52</v>
      </c>
      <c r="H45" t="inlineStr">
        <is>
          <t>URA</t>
        </is>
      </c>
      <c r="I45" t="inlineStr">
        <is>
          <t>Uranium &amp; Nuclear Energy</t>
        </is>
      </c>
      <c r="J45" t="inlineStr">
        <is>
          <t>Energy</t>
        </is>
      </c>
      <c r="K45" s="11" t="n">
        <v>-0.3274034668263199</v>
      </c>
    </row>
    <row r="46">
      <c r="A46" t="n">
        <v>2</v>
      </c>
      <c r="B46" t="inlineStr">
        <is>
          <t>CIBR</t>
        </is>
      </c>
      <c r="C46" t="inlineStr">
        <is>
          <t>Cybersecurity Leaders</t>
        </is>
      </c>
      <c r="D46" t="inlineStr">
        <is>
          <t>Technology</t>
        </is>
      </c>
      <c r="E46" s="11" t="n">
        <v>0.6536423396079329</v>
      </c>
      <c r="F46" t="inlineStr"/>
      <c r="G46" t="n">
        <v>53</v>
      </c>
      <c r="H46" t="inlineStr">
        <is>
          <t>TAN</t>
        </is>
      </c>
      <c r="I46" t="inlineStr">
        <is>
          <t>Solar Energy</t>
        </is>
      </c>
      <c r="J46" t="inlineStr">
        <is>
          <t>Energy</t>
        </is>
      </c>
      <c r="K46" s="11" t="n">
        <v>-0.2279558257638563</v>
      </c>
    </row>
    <row r="47">
      <c r="A47" t="n">
        <v>3</v>
      </c>
      <c r="B47" t="inlineStr">
        <is>
          <t>CLOU</t>
        </is>
      </c>
      <c r="C47" t="inlineStr">
        <is>
          <t>Cloud Computing &amp; SaaS</t>
        </is>
      </c>
      <c r="D47" t="inlineStr">
        <is>
          <t>Technology</t>
        </is>
      </c>
      <c r="E47" s="11" t="n">
        <v>0.5885587830570371</v>
      </c>
      <c r="F47" t="inlineStr"/>
      <c r="G47" t="n">
        <v>54</v>
      </c>
      <c r="H47" t="inlineStr">
        <is>
          <t>XAR</t>
        </is>
      </c>
      <c r="I47" t="inlineStr">
        <is>
          <t>Aerospace &amp; Defense (Equal Weight)</t>
        </is>
      </c>
      <c r="J47" t="inlineStr">
        <is>
          <t>Industrials</t>
        </is>
      </c>
      <c r="K47" s="11" t="n">
        <v>-0.2024137150179225</v>
      </c>
    </row>
    <row r="48">
      <c r="A48" t="n">
        <v>4</v>
      </c>
      <c r="B48" t="inlineStr">
        <is>
          <t>IGV</t>
        </is>
      </c>
      <c r="C48" t="inlineStr">
        <is>
          <t>Software &amp; Cloud Applications</t>
        </is>
      </c>
      <c r="D48" t="inlineStr">
        <is>
          <t>Technology</t>
        </is>
      </c>
      <c r="E48" s="11" t="n">
        <v>0.3546827130327921</v>
      </c>
      <c r="F48" t="inlineStr"/>
      <c r="G48" t="n">
        <v>55</v>
      </c>
      <c r="H48" t="inlineStr">
        <is>
          <t>SIL</t>
        </is>
      </c>
      <c r="I48" t="inlineStr">
        <is>
          <t>Silver Miners</t>
        </is>
      </c>
      <c r="J48" t="inlineStr">
        <is>
          <t>Materials</t>
        </is>
      </c>
      <c r="K48" s="11" t="n">
        <v>-0.2019272280914349</v>
      </c>
    </row>
    <row r="49">
      <c r="A49" t="n">
        <v>5</v>
      </c>
      <c r="B49" t="inlineStr">
        <is>
          <t>IDNA</t>
        </is>
      </c>
      <c r="C49" t="inlineStr">
        <is>
          <t>Genomics &amp; Immunology</t>
        </is>
      </c>
      <c r="D49" t="inlineStr">
        <is>
          <t>Health Care</t>
        </is>
      </c>
      <c r="E49" s="11" t="n">
        <v>0.3441652711660179</v>
      </c>
      <c r="F49" t="inlineStr"/>
      <c r="G49" t="n">
        <v>56</v>
      </c>
      <c r="H49" t="inlineStr">
        <is>
          <t>LIT</t>
        </is>
      </c>
      <c r="I49" t="inlineStr">
        <is>
          <t>Lithium &amp; Battery Tech</t>
        </is>
      </c>
      <c r="J49" t="inlineStr">
        <is>
          <t>Materials</t>
        </is>
      </c>
      <c r="K49" s="11" t="n">
        <v>-0.1723732147715231</v>
      </c>
    </row>
    <row r="50">
      <c r="A50" t="n">
        <v>6</v>
      </c>
      <c r="B50" t="inlineStr">
        <is>
          <t>IHF</t>
        </is>
      </c>
      <c r="C50" t="inlineStr">
        <is>
          <t>Health Care Providers &amp; Managed Care</t>
        </is>
      </c>
      <c r="D50" t="inlineStr">
        <is>
          <t>Health Care</t>
        </is>
      </c>
      <c r="E50" s="11" t="n">
        <v>0.3094292785071284</v>
      </c>
      <c r="F50" t="inlineStr"/>
      <c r="G50" t="n">
        <v>57</v>
      </c>
      <c r="H50" t="inlineStr">
        <is>
          <t>GDX</t>
        </is>
      </c>
      <c r="I50" t="inlineStr">
        <is>
          <t>Gold Miners</t>
        </is>
      </c>
      <c r="J50" t="inlineStr">
        <is>
          <t>Materials</t>
        </is>
      </c>
      <c r="K50" s="11" t="n">
        <v>-0.1722084215793657</v>
      </c>
    </row>
    <row r="51">
      <c r="A51" t="n">
        <v>7</v>
      </c>
      <c r="B51" t="inlineStr">
        <is>
          <t>SMH</t>
        </is>
      </c>
      <c r="C51" t="inlineStr">
        <is>
          <t>Semiconductor Manufacturers</t>
        </is>
      </c>
      <c r="D51" t="inlineStr">
        <is>
          <t>Technology</t>
        </is>
      </c>
      <c r="E51" s="11" t="n">
        <v>0.2494247571556969</v>
      </c>
      <c r="F51" t="inlineStr"/>
      <c r="G51" t="n">
        <v>58</v>
      </c>
      <c r="H51" t="inlineStr">
        <is>
          <t>ICLN</t>
        </is>
      </c>
      <c r="I51" t="inlineStr">
        <is>
          <t>Clean &amp; Renewable Energy</t>
        </is>
      </c>
      <c r="J51" t="inlineStr">
        <is>
          <t>Energy</t>
        </is>
      </c>
      <c r="K51" s="11" t="n">
        <v>-0.1543506177281624</v>
      </c>
    </row>
    <row r="52">
      <c r="A52" t="n">
        <v>8</v>
      </c>
      <c r="B52" t="inlineStr">
        <is>
          <t>XSD</t>
        </is>
      </c>
      <c r="C52" t="inlineStr">
        <is>
          <t>Semiconductors - Equal Weight</t>
        </is>
      </c>
      <c r="D52" t="inlineStr">
        <is>
          <t>Technology</t>
        </is>
      </c>
      <c r="E52" s="11" t="n">
        <v>0.24158804065051</v>
      </c>
      <c r="F52" t="inlineStr"/>
      <c r="G52" t="n">
        <v>59</v>
      </c>
      <c r="H52" t="inlineStr">
        <is>
          <t>FAN</t>
        </is>
      </c>
      <c r="I52" t="inlineStr">
        <is>
          <t>Wind Energy</t>
        </is>
      </c>
      <c r="J52" t="inlineStr">
        <is>
          <t>Energy</t>
        </is>
      </c>
      <c r="K52" s="11" t="n">
        <v>-0.1527843236890474</v>
      </c>
    </row>
    <row r="53">
      <c r="A53" t="n">
        <v>9</v>
      </c>
      <c r="B53" t="inlineStr">
        <is>
          <t>NXTG</t>
        </is>
      </c>
      <c r="C53" t="inlineStr">
        <is>
          <t>NextGen 5G &amp; Telecom Infrastructure</t>
        </is>
      </c>
      <c r="D53" t="inlineStr">
        <is>
          <t>Communication</t>
        </is>
      </c>
      <c r="E53" s="11" t="n">
        <v>0.2237687600086422</v>
      </c>
      <c r="F53" t="inlineStr"/>
      <c r="G53" t="n">
        <v>60</v>
      </c>
      <c r="H53" t="inlineStr">
        <is>
          <t>XME</t>
        </is>
      </c>
      <c r="I53" t="inlineStr">
        <is>
          <t>Metals &amp; Mining</t>
        </is>
      </c>
      <c r="J53" t="inlineStr">
        <is>
          <t>Materials</t>
        </is>
      </c>
      <c r="K53" s="11" t="n">
        <v>-0.1324355693959743</v>
      </c>
    </row>
    <row r="54">
      <c r="A54" t="n">
        <v>10</v>
      </c>
      <c r="B54" t="inlineStr">
        <is>
          <t>XOP</t>
        </is>
      </c>
      <c r="C54" t="inlineStr">
        <is>
          <t>Oil &amp; Gas Exploration &amp; Production</t>
        </is>
      </c>
      <c r="D54" t="inlineStr">
        <is>
          <t>Energy</t>
        </is>
      </c>
      <c r="E54" s="11" t="n">
        <v>0.2214073420232814</v>
      </c>
      <c r="F54" t="inlineStr"/>
      <c r="G54" t="n">
        <v>61</v>
      </c>
      <c r="H54" t="inlineStr">
        <is>
          <t>BETZ</t>
        </is>
      </c>
      <c r="I54" t="inlineStr">
        <is>
          <t>Casinos, Gaming &amp; Sports Betting</t>
        </is>
      </c>
      <c r="J54" t="inlineStr">
        <is>
          <t>Consumer Discretionary</t>
        </is>
      </c>
      <c r="K54" s="11" t="n">
        <v>-0.1312947426776969</v>
      </c>
    </row>
    <row r="55"/>
    <row r="56"/>
    <row r="57">
      <c r="A57" s="9">
        <f>== PAST 1 YEAR LEADERS &amp; LAGGARDS ===</f>
        <v/>
      </c>
    </row>
    <row r="58">
      <c r="A58" s="10" t="inlineStr">
        <is>
          <t>Top 10 - Rank</t>
        </is>
      </c>
      <c r="B58" s="10" t="inlineStr">
        <is>
          <t>Top 10 - Ticker</t>
        </is>
      </c>
      <c r="C58" s="10" t="inlineStr">
        <is>
          <t>Top 10 - Subgroup Name</t>
        </is>
      </c>
      <c r="D58" s="10" t="inlineStr">
        <is>
          <t>Top 10 - Sector</t>
        </is>
      </c>
      <c r="E58" s="10" t="inlineStr">
        <is>
          <t>Top 10 - 1Y</t>
        </is>
      </c>
      <c r="F58" t="inlineStr"/>
      <c r="G58" s="10" t="inlineStr">
        <is>
          <t>Bottom 10 - Rank</t>
        </is>
      </c>
      <c r="H58" s="10" t="inlineStr">
        <is>
          <t>Bottom 10 - Ticker</t>
        </is>
      </c>
      <c r="I58" s="10" t="inlineStr">
        <is>
          <t>Bottom 10 - Subgroup Name</t>
        </is>
      </c>
      <c r="J58" s="10" t="inlineStr">
        <is>
          <t>Bottom 10 - Sector</t>
        </is>
      </c>
      <c r="K58" s="10" t="inlineStr">
        <is>
          <t>Bottom 10 - 1Y</t>
        </is>
      </c>
    </row>
    <row r="59">
      <c r="A59" t="n">
        <v>1</v>
      </c>
      <c r="B59" t="inlineStr">
        <is>
          <t>IDNA</t>
        </is>
      </c>
      <c r="C59" t="inlineStr">
        <is>
          <t>Genomics &amp; Immunology</t>
        </is>
      </c>
      <c r="D59" t="inlineStr">
        <is>
          <t>Health Care</t>
        </is>
      </c>
      <c r="E59" s="11" t="n">
        <v>0.7202125335128795</v>
      </c>
      <c r="F59" t="inlineStr"/>
      <c r="G59" t="n">
        <v>52</v>
      </c>
      <c r="H59" t="inlineStr">
        <is>
          <t>URA</t>
        </is>
      </c>
      <c r="I59" t="inlineStr">
        <is>
          <t>Uranium &amp; Nuclear Energy</t>
        </is>
      </c>
      <c r="J59" t="inlineStr">
        <is>
          <t>Energy</t>
        </is>
      </c>
      <c r="K59" s="11" t="n">
        <v>-0.3462681047938783</v>
      </c>
    </row>
    <row r="60">
      <c r="A60" t="n">
        <v>2</v>
      </c>
      <c r="B60" t="inlineStr">
        <is>
          <t>SMH</t>
        </is>
      </c>
      <c r="C60" t="inlineStr">
        <is>
          <t>Semiconductor Manufacturers</t>
        </is>
      </c>
      <c r="D60" t="inlineStr">
        <is>
          <t>Technology</t>
        </is>
      </c>
      <c r="E60" s="11" t="n">
        <v>0.6986423088185214</v>
      </c>
      <c r="F60" t="inlineStr"/>
      <c r="G60" t="n">
        <v>53</v>
      </c>
      <c r="H60" t="inlineStr">
        <is>
          <t>FINX</t>
        </is>
      </c>
      <c r="I60" t="inlineStr">
        <is>
          <t>FinTech &amp; Digital Payments</t>
        </is>
      </c>
      <c r="J60" t="inlineStr">
        <is>
          <t>Technology</t>
        </is>
      </c>
      <c r="K60" s="11" t="n">
        <v>-0.2902815969788999</v>
      </c>
    </row>
    <row r="61">
      <c r="A61" t="n">
        <v>3</v>
      </c>
      <c r="B61" t="inlineStr">
        <is>
          <t>XOP</t>
        </is>
      </c>
      <c r="C61" t="inlineStr">
        <is>
          <t>Oil &amp; Gas Exploration &amp; Production</t>
        </is>
      </c>
      <c r="D61" t="inlineStr">
        <is>
          <t>Energy</t>
        </is>
      </c>
      <c r="E61" s="11" t="n">
        <v>0.6003458501377785</v>
      </c>
      <c r="F61" t="inlineStr"/>
      <c r="G61" t="n">
        <v>54</v>
      </c>
      <c r="H61" t="inlineStr">
        <is>
          <t>BETZ</t>
        </is>
      </c>
      <c r="I61" t="inlineStr">
        <is>
          <t>Casinos, Gaming &amp; Sports Betting</t>
        </is>
      </c>
      <c r="J61" t="inlineStr">
        <is>
          <t>Consumer Discretionary</t>
        </is>
      </c>
      <c r="K61" s="11" t="n">
        <v>-0.2519051889436215</v>
      </c>
    </row>
    <row r="62">
      <c r="A62" t="n">
        <v>4</v>
      </c>
      <c r="B62" t="inlineStr">
        <is>
          <t>OIH</t>
        </is>
      </c>
      <c r="C62" t="inlineStr">
        <is>
          <t>Oil Services &amp; Equipment</t>
        </is>
      </c>
      <c r="D62" t="inlineStr">
        <is>
          <t>Energy</t>
        </is>
      </c>
      <c r="E62" s="11" t="n">
        <v>0.5634283820435435</v>
      </c>
      <c r="F62" t="inlineStr"/>
      <c r="G62" t="n">
        <v>55</v>
      </c>
      <c r="H62" t="inlineStr">
        <is>
          <t>AWAY</t>
        </is>
      </c>
      <c r="I62" t="inlineStr">
        <is>
          <t>Travel Tech &amp; Bookings</t>
        </is>
      </c>
      <c r="J62" t="inlineStr">
        <is>
          <t>Consumer Discretionary</t>
        </is>
      </c>
      <c r="K62" s="11" t="n">
        <v>-0.2239598989147703</v>
      </c>
    </row>
    <row r="63">
      <c r="A63" t="n">
        <v>5</v>
      </c>
      <c r="B63" t="inlineStr">
        <is>
          <t>BDRY</t>
        </is>
      </c>
      <c r="C63" t="inlineStr">
        <is>
          <t>Dry Bulk Shipping &amp; Maritime Freight</t>
        </is>
      </c>
      <c r="D63" t="inlineStr">
        <is>
          <t>Industrials</t>
        </is>
      </c>
      <c r="E63" s="11" t="n">
        <v>0.5341463678440552</v>
      </c>
      <c r="F63" t="inlineStr"/>
      <c r="G63" t="n">
        <v>56</v>
      </c>
      <c r="H63" t="inlineStr">
        <is>
          <t>ITB</t>
        </is>
      </c>
      <c r="I63" t="inlineStr">
        <is>
          <t>Home Construction</t>
        </is>
      </c>
      <c r="J63" t="inlineStr">
        <is>
          <t>Consumer Discretionary</t>
        </is>
      </c>
      <c r="K63" s="11" t="n">
        <v>-0.1823784548327451</v>
      </c>
    </row>
    <row r="64">
      <c r="A64" t="n">
        <v>6</v>
      </c>
      <c r="B64" t="inlineStr">
        <is>
          <t>NXTG</t>
        </is>
      </c>
      <c r="C64" t="inlineStr">
        <is>
          <t>NextGen 5G &amp; Telecom Infrastructure</t>
        </is>
      </c>
      <c r="D64" t="inlineStr">
        <is>
          <t>Communication</t>
        </is>
      </c>
      <c r="E64" s="11" t="n">
        <v>0.4430317423816661</v>
      </c>
      <c r="F64" t="inlineStr"/>
      <c r="G64" t="n">
        <v>57</v>
      </c>
      <c r="H64" t="inlineStr">
        <is>
          <t>XHB</t>
        </is>
      </c>
      <c r="I64" t="inlineStr">
        <is>
          <t>Homebuilders &amp; Residential Construction</t>
        </is>
      </c>
      <c r="J64" t="inlineStr">
        <is>
          <t>Consumer Discretionary</t>
        </is>
      </c>
      <c r="K64" s="11" t="n">
        <v>-0.1270527530635985</v>
      </c>
    </row>
    <row r="65">
      <c r="A65" t="n">
        <v>7</v>
      </c>
      <c r="B65" t="inlineStr">
        <is>
          <t>XSD</t>
        </is>
      </c>
      <c r="C65" t="inlineStr">
        <is>
          <t>Semiconductors - Equal Weight</t>
        </is>
      </c>
      <c r="D65" t="inlineStr">
        <is>
          <t>Technology</t>
        </is>
      </c>
      <c r="E65" s="11" t="n">
        <v>0.4247774369918631</v>
      </c>
      <c r="F65" t="inlineStr"/>
      <c r="G65" t="n">
        <v>58</v>
      </c>
      <c r="H65" t="inlineStr">
        <is>
          <t>IHI</t>
        </is>
      </c>
      <c r="I65" t="inlineStr">
        <is>
          <t>Medical Devices &amp; Equipment</t>
        </is>
      </c>
      <c r="J65" t="inlineStr">
        <is>
          <t>Health Care</t>
        </is>
      </c>
      <c r="K65" s="11" t="n">
        <v>-0.1090586685757516</v>
      </c>
    </row>
    <row r="66">
      <c r="A66" t="n">
        <v>8</v>
      </c>
      <c r="B66" t="inlineStr">
        <is>
          <t>HACK</t>
        </is>
      </c>
      <c r="C66" t="inlineStr">
        <is>
          <t>Cybersecurity</t>
        </is>
      </c>
      <c r="D66" t="inlineStr">
        <is>
          <t>Technology</t>
        </is>
      </c>
      <c r="E66" s="11" t="n">
        <v>0.4158891065489307</v>
      </c>
      <c r="F66" t="inlineStr"/>
      <c r="G66" t="n">
        <v>59</v>
      </c>
      <c r="H66" t="inlineStr">
        <is>
          <t>XAR</t>
        </is>
      </c>
      <c r="I66" t="inlineStr">
        <is>
          <t>Aerospace &amp; Defense (Equal Weight)</t>
        </is>
      </c>
      <c r="J66" t="inlineStr">
        <is>
          <t>Industrials</t>
        </is>
      </c>
      <c r="K66" s="11" t="n">
        <v>-0.103136024009684</v>
      </c>
    </row>
    <row r="67">
      <c r="A67" t="n">
        <v>9</v>
      </c>
      <c r="B67" t="inlineStr">
        <is>
          <t>XBI</t>
        </is>
      </c>
      <c r="C67" t="inlineStr">
        <is>
          <t>Biotechnology (Equal Weight)</t>
        </is>
      </c>
      <c r="D67" t="inlineStr">
        <is>
          <t>Health Care</t>
        </is>
      </c>
      <c r="E67" s="11" t="n">
        <v>0.402207969887874</v>
      </c>
      <c r="F67" t="inlineStr"/>
      <c r="G67" t="n">
        <v>60</v>
      </c>
      <c r="H67" t="inlineStr">
        <is>
          <t>TAN</t>
        </is>
      </c>
      <c r="I67" t="inlineStr">
        <is>
          <t>Solar Energy</t>
        </is>
      </c>
      <c r="J67" t="inlineStr">
        <is>
          <t>Energy</t>
        </is>
      </c>
      <c r="K67" s="11" t="n">
        <v>-0.09063766379443039</v>
      </c>
    </row>
    <row r="68">
      <c r="A68" t="n">
        <v>10</v>
      </c>
      <c r="B68" t="inlineStr">
        <is>
          <t>FCG</t>
        </is>
      </c>
      <c r="C68" t="inlineStr">
        <is>
          <t>Natural Gas Producers</t>
        </is>
      </c>
      <c r="D68" t="inlineStr">
        <is>
          <t>Energy</t>
        </is>
      </c>
      <c r="E68" s="11" t="n">
        <v>0.3993891218839369</v>
      </c>
      <c r="F68" t="inlineStr"/>
      <c r="G68" t="n">
        <v>61</v>
      </c>
      <c r="H68" t="inlineStr">
        <is>
          <t>XME</t>
        </is>
      </c>
      <c r="I68" t="inlineStr">
        <is>
          <t>Metals &amp; Mining</t>
        </is>
      </c>
      <c r="J68" t="inlineStr">
        <is>
          <t>Materials</t>
        </is>
      </c>
      <c r="K68" s="11" t="n">
        <v>-0.08040819131101196</v>
      </c>
    </row>
    <row r="69"/>
    <row r="70"/>
    <row r="71">
      <c r="A71" s="9">
        <f>== PAST 3 YEARS LEADERS &amp; LAGGARDS ===</f>
        <v/>
      </c>
    </row>
    <row r="72">
      <c r="A72" s="10" t="inlineStr">
        <is>
          <t>Top 10 - Rank</t>
        </is>
      </c>
      <c r="B72" s="10" t="inlineStr">
        <is>
          <t>Top 10 - Ticker</t>
        </is>
      </c>
      <c r="C72" s="10" t="inlineStr">
        <is>
          <t>Top 10 - Subgroup Name</t>
        </is>
      </c>
      <c r="D72" s="10" t="inlineStr">
        <is>
          <t>Top 10 - Sector</t>
        </is>
      </c>
      <c r="E72" s="10" t="inlineStr">
        <is>
          <t>Top 10 - 3Y</t>
        </is>
      </c>
      <c r="F72" t="inlineStr"/>
      <c r="G72" s="10" t="inlineStr">
        <is>
          <t>Bottom 10 - Rank</t>
        </is>
      </c>
      <c r="H72" s="10" t="inlineStr">
        <is>
          <t>Bottom 10 - Ticker</t>
        </is>
      </c>
      <c r="I72" s="10" t="inlineStr">
        <is>
          <t>Bottom 10 - Subgroup Name</t>
        </is>
      </c>
      <c r="J72" s="10" t="inlineStr">
        <is>
          <t>Bottom 10 - Sector</t>
        </is>
      </c>
      <c r="K72" s="10" t="inlineStr">
        <is>
          <t>Bottom 10 - 3Y</t>
        </is>
      </c>
    </row>
    <row r="73">
      <c r="A73" t="n">
        <v>1</v>
      </c>
      <c r="B73" t="inlineStr">
        <is>
          <t>SMH</t>
        </is>
      </c>
      <c r="C73" t="inlineStr">
        <is>
          <t>Semiconductor Manufacturers</t>
        </is>
      </c>
      <c r="D73" t="inlineStr">
        <is>
          <t>Technology</t>
        </is>
      </c>
      <c r="E73" s="11" t="n">
        <v>2.857917863879214</v>
      </c>
      <c r="F73" t="inlineStr"/>
      <c r="G73" t="n">
        <v>52</v>
      </c>
      <c r="H73" t="inlineStr">
        <is>
          <t>TAN</t>
        </is>
      </c>
      <c r="I73" t="inlineStr">
        <is>
          <t>Solar Energy</t>
        </is>
      </c>
      <c r="J73" t="inlineStr">
        <is>
          <t>Energy</t>
        </is>
      </c>
      <c r="K73" s="11" t="n">
        <v>-0.1125478607041329</v>
      </c>
    </row>
    <row r="74">
      <c r="A74" t="n">
        <v>2</v>
      </c>
      <c r="B74" t="inlineStr">
        <is>
          <t>SIL</t>
        </is>
      </c>
      <c r="C74" t="inlineStr">
        <is>
          <t>Silver Miners</t>
        </is>
      </c>
      <c r="D74" t="inlineStr">
        <is>
          <t>Materials</t>
        </is>
      </c>
      <c r="E74" s="11" t="n">
        <v>2.37754747033208</v>
      </c>
      <c r="F74" t="inlineStr"/>
      <c r="G74" t="n">
        <v>53</v>
      </c>
      <c r="H74" t="inlineStr">
        <is>
          <t>WOOD</t>
        </is>
      </c>
      <c r="I74" t="inlineStr">
        <is>
          <t>Timber &amp; Forestry</t>
        </is>
      </c>
      <c r="J74" t="inlineStr">
        <is>
          <t>Materials</t>
        </is>
      </c>
      <c r="K74" s="11" t="n">
        <v>-0.04552099016380451</v>
      </c>
    </row>
    <row r="75">
      <c r="A75" t="n">
        <v>3</v>
      </c>
      <c r="B75" t="inlineStr">
        <is>
          <t>GDX</t>
        </is>
      </c>
      <c r="C75" t="inlineStr">
        <is>
          <t>Gold Miners</t>
        </is>
      </c>
      <c r="D75" t="inlineStr">
        <is>
          <t>Materials</t>
        </is>
      </c>
      <c r="E75" s="11" t="n">
        <v>1.984025436570892</v>
      </c>
      <c r="F75" t="inlineStr"/>
      <c r="G75" t="n">
        <v>54</v>
      </c>
      <c r="H75" t="inlineStr">
        <is>
          <t>AWAY</t>
        </is>
      </c>
      <c r="I75" t="inlineStr">
        <is>
          <t>Travel Tech &amp; Bookings</t>
        </is>
      </c>
      <c r="J75" t="inlineStr">
        <is>
          <t>Consumer Discretionary</t>
        </is>
      </c>
      <c r="K75" s="11" t="n">
        <v>0.05700514164401116</v>
      </c>
    </row>
    <row r="76">
      <c r="A76" t="n">
        <v>4</v>
      </c>
      <c r="B76" t="inlineStr">
        <is>
          <t>XSD</t>
        </is>
      </c>
      <c r="C76" t="inlineStr">
        <is>
          <t>Semiconductors - Equal Weight</t>
        </is>
      </c>
      <c r="D76" t="inlineStr">
        <is>
          <t>Technology</t>
        </is>
      </c>
      <c r="E76" s="11" t="n">
        <v>1.599905929352007</v>
      </c>
      <c r="F76" t="inlineStr"/>
      <c r="G76" t="n">
        <v>55</v>
      </c>
      <c r="H76" t="inlineStr">
        <is>
          <t>BIZD</t>
        </is>
      </c>
      <c r="I76" t="inlineStr">
        <is>
          <t>Business Development Companies (BDCs)</t>
        </is>
      </c>
      <c r="J76" t="inlineStr">
        <is>
          <t>Financials</t>
        </is>
      </c>
      <c r="K76" s="11" t="n">
        <v>0.1070288193768014</v>
      </c>
    </row>
    <row r="77">
      <c r="A77" t="n">
        <v>5</v>
      </c>
      <c r="B77" t="inlineStr">
        <is>
          <t>COPX</t>
        </is>
      </c>
      <c r="C77" t="inlineStr">
        <is>
          <t>Copper Miners</t>
        </is>
      </c>
      <c r="D77" t="inlineStr">
        <is>
          <t>Materials</t>
        </is>
      </c>
      <c r="E77" s="11" t="n">
        <v>1.46704974592383</v>
      </c>
      <c r="F77" t="inlineStr"/>
      <c r="G77" t="n">
        <v>56</v>
      </c>
      <c r="H77" t="inlineStr">
        <is>
          <t>BETZ</t>
        </is>
      </c>
      <c r="I77" t="inlineStr">
        <is>
          <t>Casinos, Gaming &amp; Sports Betting</t>
        </is>
      </c>
      <c r="J77" t="inlineStr">
        <is>
          <t>Consumer Discretionary</t>
        </is>
      </c>
      <c r="K77" s="11" t="n">
        <v>0.1413603811965336</v>
      </c>
    </row>
    <row r="78">
      <c r="A78" t="n">
        <v>6</v>
      </c>
      <c r="B78" t="inlineStr">
        <is>
          <t>HACK</t>
        </is>
      </c>
      <c r="C78" t="inlineStr">
        <is>
          <t>Cybersecurity</t>
        </is>
      </c>
      <c r="D78" t="inlineStr">
        <is>
          <t>Technology</t>
        </is>
      </c>
      <c r="E78" s="11" t="n">
        <v>1.336137479405858</v>
      </c>
      <c r="F78" t="inlineStr"/>
      <c r="G78" t="n">
        <v>57</v>
      </c>
      <c r="H78" t="inlineStr">
        <is>
          <t>ITB</t>
        </is>
      </c>
      <c r="I78" t="inlineStr">
        <is>
          <t>Home Construction</t>
        </is>
      </c>
      <c r="J78" t="inlineStr">
        <is>
          <t>Consumer Discretionary</t>
        </is>
      </c>
      <c r="K78" s="11" t="n">
        <v>0.1428449840829098</v>
      </c>
    </row>
    <row r="79">
      <c r="A79" t="n">
        <v>7</v>
      </c>
      <c r="B79" t="inlineStr">
        <is>
          <t>NXTG</t>
        </is>
      </c>
      <c r="C79" t="inlineStr">
        <is>
          <t>NextGen 5G &amp; Telecom Infrastructure</t>
        </is>
      </c>
      <c r="D79" t="inlineStr">
        <is>
          <t>Communication</t>
        </is>
      </c>
      <c r="E79" s="11" t="n">
        <v>1.332149096627072</v>
      </c>
      <c r="F79" t="inlineStr"/>
      <c r="G79" t="n">
        <v>58</v>
      </c>
      <c r="H79" t="inlineStr">
        <is>
          <t>OIH</t>
        </is>
      </c>
      <c r="I79" t="inlineStr">
        <is>
          <t>Oil Services &amp; Equipment</t>
        </is>
      </c>
      <c r="J79" t="inlineStr">
        <is>
          <t>Energy</t>
        </is>
      </c>
      <c r="K79" s="11" t="n">
        <v>0.1670249784998927</v>
      </c>
    </row>
    <row r="80">
      <c r="A80" t="n">
        <v>8</v>
      </c>
      <c r="B80" t="inlineStr">
        <is>
          <t>CIBR</t>
        </is>
      </c>
      <c r="C80" t="inlineStr">
        <is>
          <t>Cybersecurity Leaders</t>
        </is>
      </c>
      <c r="D80" t="inlineStr">
        <is>
          <t>Technology</t>
        </is>
      </c>
      <c r="E80" s="11" t="n">
        <v>1.282290557212443</v>
      </c>
      <c r="F80" t="inlineStr"/>
      <c r="G80" t="n">
        <v>59</v>
      </c>
      <c r="H80" t="inlineStr">
        <is>
          <t>IHI</t>
        </is>
      </c>
      <c r="I80" t="inlineStr">
        <is>
          <t>Medical Devices &amp; Equipment</t>
        </is>
      </c>
      <c r="J80" t="inlineStr">
        <is>
          <t>Health Care</t>
        </is>
      </c>
      <c r="K80" s="11" t="n">
        <v>0.1778967547508479</v>
      </c>
    </row>
    <row r="81">
      <c r="A81" t="n">
        <v>9</v>
      </c>
      <c r="B81" t="inlineStr">
        <is>
          <t>IDNA</t>
        </is>
      </c>
      <c r="C81" t="inlineStr">
        <is>
          <t>Genomics &amp; Immunology</t>
        </is>
      </c>
      <c r="D81" t="inlineStr">
        <is>
          <t>Health Care</t>
        </is>
      </c>
      <c r="E81" s="11" t="n">
        <v>1.21083739575125</v>
      </c>
      <c r="F81" t="inlineStr"/>
      <c r="G81" t="n">
        <v>60</v>
      </c>
      <c r="H81" t="inlineStr">
        <is>
          <t>IHF</t>
        </is>
      </c>
      <c r="I81" t="inlineStr">
        <is>
          <t>Health Care Providers &amp; Managed Care</t>
        </is>
      </c>
      <c r="J81" t="inlineStr">
        <is>
          <t>Health Care</t>
        </is>
      </c>
      <c r="K81" s="11" t="n">
        <v>0.1932138612749579</v>
      </c>
    </row>
    <row r="82">
      <c r="A82" t="n">
        <v>10</v>
      </c>
      <c r="B82" t="inlineStr">
        <is>
          <t>BDRY</t>
        </is>
      </c>
      <c r="C82" t="inlineStr">
        <is>
          <t>Dry Bulk Shipping &amp; Maritime Freight</t>
        </is>
      </c>
      <c r="D82" t="inlineStr">
        <is>
          <t>Industrials</t>
        </is>
      </c>
      <c r="E82" s="11" t="n">
        <v>1.143100539857657</v>
      </c>
      <c r="F82" t="inlineStr"/>
      <c r="G82" t="n">
        <v>61</v>
      </c>
      <c r="H82" t="inlineStr">
        <is>
          <t>PBJ</t>
        </is>
      </c>
      <c r="I82" t="inlineStr">
        <is>
          <t>Food &amp; Beverage Manufacturers</t>
        </is>
      </c>
      <c r="J82" t="inlineStr">
        <is>
          <t>Consumer Staples</t>
        </is>
      </c>
      <c r="K82" s="11" t="n">
        <v>0.2202631841313665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2026-10-14T23:36:15Z</dcterms:created>
  <dcterms:modified xmlns:dcterms="http://purl.org/dc/terms/" xmlns:xsi="http://www.w3.org/2001/XMLSchema-instance" xsi:type="dcterms:W3CDTF">2026-10-14T23:36:15Z</dcterms:modified>
</cp:coreProperties>
</file>