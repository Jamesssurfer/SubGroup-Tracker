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bgroup_RS_Leaderboard" sheetId="1" state="visible" r:id="rId1"/>
    <sheet xmlns:r="http://schemas.openxmlformats.org/officeDocument/2006/relationships" name="Top_and_Last_10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4">
    <font>
      <name val="Calibri"/>
      <family val="2"/>
      <color theme="1"/>
      <sz val="11"/>
      <scheme val="minor"/>
    </font>
    <font>
      <b val="1"/>
    </font>
    <font>
      <name val="Calibri"/>
      <b val="1"/>
      <color rgb="00FFFFFF"/>
      <sz val="11"/>
    </font>
    <font>
      <b val="1"/>
      <color rgb="001F4E79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0" fillId="0" borderId="2" pivotButton="0" quotePrefix="0" xfId="0"/>
    <xf numFmtId="1" fontId="1" fillId="3" borderId="2" pivotButton="0" quotePrefix="0" xfId="0"/>
    <xf numFmtId="164" fontId="0" fillId="0" borderId="2" pivotButton="0" quotePrefix="0" xfId="0"/>
    <xf numFmtId="10" fontId="0" fillId="0" borderId="2" pivotButton="0" quotePrefix="0" xfId="0"/>
    <xf numFmtId="1" fontId="1" fillId="0" borderId="2" pivotButton="0" quotePrefix="0" xfId="0"/>
    <xf numFmtId="1" fontId="1" fillId="4" borderId="2" pivotButton="0" quotePrefix="0" xfId="0"/>
    <xf numFmtId="0" fontId="3" fillId="0" borderId="0" pivotButton="0" quotePrefix="0" xfId="0"/>
    <xf numFmtId="0" fontId="2" fillId="2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62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42" customWidth="1" min="4" max="4"/>
    <col width="25" customWidth="1" min="5" max="5"/>
    <col width="15" customWidth="1" min="6" max="6"/>
    <col width="25" customWidth="1" min="7" max="7"/>
    <col width="24" customWidth="1" min="8" max="8"/>
    <col width="25" customWidth="1" min="9" max="9"/>
    <col width="25" customWidth="1" min="10" max="10"/>
    <col width="24" customWidth="1" min="11" max="11"/>
    <col width="24" customWidth="1" min="12" max="12"/>
    <col width="24" customWidth="1" min="13" max="13"/>
    <col width="24" customWidth="1" min="14" max="14"/>
    <col width="23" customWidth="1" min="15" max="15"/>
    <col width="23" customWidth="1" min="16" max="16"/>
  </cols>
  <sheetData>
    <row r="1">
      <c r="A1" s="2" t="inlineStr">
        <is>
          <t>IBD_Rank</t>
        </is>
      </c>
      <c r="B1" s="2" t="inlineStr">
        <is>
          <t>IBD_RS_Rating</t>
        </is>
      </c>
      <c r="C1" s="2" t="inlineStr">
        <is>
          <t>Ticker</t>
        </is>
      </c>
      <c r="D1" s="2" t="inlineStr">
        <is>
          <t>Subgroup Name</t>
        </is>
      </c>
      <c r="E1" s="2" t="inlineStr">
        <is>
          <t>Sector</t>
        </is>
      </c>
      <c r="F1" s="2" t="inlineStr">
        <is>
          <t>Latest Price</t>
        </is>
      </c>
      <c r="G1" s="2" t="inlineStr">
        <is>
          <t>1D</t>
        </is>
      </c>
      <c r="H1" s="2" t="inlineStr">
        <is>
          <t>1W</t>
        </is>
      </c>
      <c r="I1" s="2" t="inlineStr">
        <is>
          <t>2W</t>
        </is>
      </c>
      <c r="J1" s="2" t="inlineStr">
        <is>
          <t>1M</t>
        </is>
      </c>
      <c r="K1" s="2" t="inlineStr">
        <is>
          <t>3M</t>
        </is>
      </c>
      <c r="L1" s="2" t="inlineStr">
        <is>
          <t>6M</t>
        </is>
      </c>
      <c r="M1" s="2" t="inlineStr">
        <is>
          <t>9M</t>
        </is>
      </c>
      <c r="N1" s="2" t="inlineStr">
        <is>
          <t>1Y</t>
        </is>
      </c>
      <c r="O1" s="2" t="inlineStr">
        <is>
          <t>3Y</t>
        </is>
      </c>
      <c r="P1" s="2" t="inlineStr">
        <is>
          <t>3Y (Ann.)</t>
        </is>
      </c>
    </row>
    <row r="2">
      <c r="A2" s="3" t="n">
        <v>1</v>
      </c>
      <c r="B2" s="4" t="n">
        <v>99</v>
      </c>
      <c r="C2" s="3" t="inlineStr">
        <is>
          <t>BDRY</t>
        </is>
      </c>
      <c r="D2" s="3" t="inlineStr">
        <is>
          <t>Dry Bulk Shipping &amp; Maritime Freight</t>
        </is>
      </c>
      <c r="E2" s="3" t="inlineStr">
        <is>
          <t>Industrials</t>
        </is>
      </c>
      <c r="F2" s="5" t="n">
        <v>16.14</v>
      </c>
      <c r="G2" s="6" t="n">
        <v>-0.02653802992052523</v>
      </c>
      <c r="H2" s="6" t="n">
        <v>0.08906880715289223</v>
      </c>
      <c r="I2" s="6" t="n">
        <v>0.1374207094382778</v>
      </c>
      <c r="J2" s="6" t="n">
        <v>0.1569892193782523</v>
      </c>
      <c r="K2" s="6" t="n">
        <v>0.2789223087170745</v>
      </c>
      <c r="L2" s="6" t="n">
        <v>0.291199951171875</v>
      </c>
      <c r="M2" s="6" t="n">
        <v>0.7354837697452878</v>
      </c>
      <c r="N2" s="6" t="n">
        <v>0.9828008241901471</v>
      </c>
      <c r="O2" s="6" t="n">
        <v>2.320987437499749</v>
      </c>
      <c r="P2" s="6" t="n">
        <v>0.4919550687466925</v>
      </c>
    </row>
    <row r="3">
      <c r="A3" s="3" t="n">
        <v>2</v>
      </c>
      <c r="B3" s="4" t="n">
        <v>97</v>
      </c>
      <c r="C3" s="3" t="inlineStr">
        <is>
          <t>IDNA</t>
        </is>
      </c>
      <c r="D3" s="3" t="inlineStr">
        <is>
          <t>Genomics &amp; Immunology</t>
        </is>
      </c>
      <c r="E3" s="3" t="inlineStr">
        <is>
          <t>Health Care</t>
        </is>
      </c>
      <c r="F3" s="5" t="n">
        <v>40.29</v>
      </c>
      <c r="G3" s="6" t="n">
        <v>0.002238809723378532</v>
      </c>
      <c r="H3" s="6" t="n">
        <v>-0.007635408134099908</v>
      </c>
      <c r="I3" s="6" t="n">
        <v>0.02545176830486673</v>
      </c>
      <c r="J3" s="6" t="n">
        <v>0.2427514864612361</v>
      </c>
      <c r="K3" s="6" t="n">
        <v>0.4004807108043775</v>
      </c>
      <c r="L3" s="6" t="n">
        <v>0.3563488472305776</v>
      </c>
      <c r="M3" s="6" t="n">
        <v>0.5197135535505404</v>
      </c>
      <c r="N3" s="6" t="n">
        <v>0.7986445514990987</v>
      </c>
      <c r="O3" s="6" t="n">
        <v>0.831678106364389</v>
      </c>
      <c r="P3" s="6" t="n">
        <v>0.2235349652662386</v>
      </c>
    </row>
    <row r="4">
      <c r="A4" s="3" t="n">
        <v>3</v>
      </c>
      <c r="B4" s="4" t="n">
        <v>96</v>
      </c>
      <c r="C4" s="3" t="inlineStr">
        <is>
          <t>XBI</t>
        </is>
      </c>
      <c r="D4" s="3" t="inlineStr">
        <is>
          <t>Biotechnology (Equal Weight)</t>
        </is>
      </c>
      <c r="E4" s="3" t="inlineStr">
        <is>
          <t>Health Care</t>
        </is>
      </c>
      <c r="F4" s="5" t="n">
        <v>164.38</v>
      </c>
      <c r="G4" s="6" t="n">
        <v>-0.005986516681417697</v>
      </c>
      <c r="H4" s="6" t="n">
        <v>-0.02288528171255444</v>
      </c>
      <c r="I4" s="6" t="n">
        <v>0.00612070002517906</v>
      </c>
      <c r="J4" s="6" t="n">
        <v>0.1158781318791959</v>
      </c>
      <c r="K4" s="6" t="n">
        <v>0.2673601017388425</v>
      </c>
      <c r="L4" s="6" t="n">
        <v>0.3323187923557203</v>
      </c>
      <c r="M4" s="6" t="n">
        <v>0.355049820320311</v>
      </c>
      <c r="N4" s="6" t="n">
        <v>0.7632926119456243</v>
      </c>
      <c r="O4" s="6" t="n">
        <v>1.038932127882104</v>
      </c>
      <c r="P4" s="6" t="n">
        <v>0.2680438042519697</v>
      </c>
    </row>
    <row r="5">
      <c r="A5" s="3" t="n">
        <v>4</v>
      </c>
      <c r="B5" s="4" t="n">
        <v>94</v>
      </c>
      <c r="C5" s="3" t="inlineStr">
        <is>
          <t>XPH</t>
        </is>
      </c>
      <c r="D5" s="3" t="inlineStr">
        <is>
          <t>Pharmaceuticals</t>
        </is>
      </c>
      <c r="E5" s="3" t="inlineStr">
        <is>
          <t>Health Care</t>
        </is>
      </c>
      <c r="F5" s="5" t="n">
        <v>71.03</v>
      </c>
      <c r="G5" s="6" t="n">
        <v>-0.006156463325745598</v>
      </c>
      <c r="H5" s="6" t="n">
        <v>-0.01905820760971222</v>
      </c>
      <c r="I5" s="6" t="n">
        <v>-0.01742982598247322</v>
      </c>
      <c r="J5" s="6" t="n">
        <v>0.04103759760519998</v>
      </c>
      <c r="K5" s="6" t="n">
        <v>0.2624063208426435</v>
      </c>
      <c r="L5" s="6" t="n">
        <v>0.2777075263067894</v>
      </c>
      <c r="M5" s="6" t="n">
        <v>0.3186257916320487</v>
      </c>
      <c r="N5" s="6" t="n">
        <v>0.5052136977032666</v>
      </c>
      <c r="O5" s="6" t="n">
        <v>0.6677445751086986</v>
      </c>
      <c r="P5" s="6" t="n">
        <v>0.1858866467684095</v>
      </c>
    </row>
    <row r="6">
      <c r="A6" s="3" t="n">
        <v>5</v>
      </c>
      <c r="B6" s="4" t="n">
        <v>93</v>
      </c>
      <c r="C6" s="3" t="inlineStr">
        <is>
          <t>SMH</t>
        </is>
      </c>
      <c r="D6" s="3" t="inlineStr">
        <is>
          <t>Semiconductor Manufacturers</t>
        </is>
      </c>
      <c r="E6" s="3" t="inlineStr">
        <is>
          <t>Technology</t>
        </is>
      </c>
      <c r="F6" s="5" t="n">
        <v>552.6</v>
      </c>
      <c r="G6" s="6" t="n">
        <v>0.003851175687410668</v>
      </c>
      <c r="H6" s="6" t="n">
        <v>-0.03560213684827662</v>
      </c>
      <c r="I6" s="6" t="n">
        <v>-0.01786198949976237</v>
      </c>
      <c r="J6" s="6" t="n">
        <v>0.01308978353254853</v>
      </c>
      <c r="K6" s="6" t="n">
        <v>-0.1337200902390255</v>
      </c>
      <c r="L6" s="6" t="n">
        <v>0.4130823378403456</v>
      </c>
      <c r="M6" s="6" t="n">
        <v>0.5213092221557571</v>
      </c>
      <c r="N6" s="6" t="n">
        <v>0.9352702427713244</v>
      </c>
      <c r="O6" s="6" t="n">
        <v>2.58576482180878</v>
      </c>
      <c r="P6" s="6" t="n">
        <v>0.5305960941860213</v>
      </c>
    </row>
    <row r="7">
      <c r="A7" s="3" t="n">
        <v>6</v>
      </c>
      <c r="B7" s="4" t="n">
        <v>91</v>
      </c>
      <c r="C7" s="3" t="inlineStr">
        <is>
          <t>IBB</t>
        </is>
      </c>
      <c r="D7" s="3" t="inlineStr">
        <is>
          <t>Biotechnology (Market Weight)</t>
        </is>
      </c>
      <c r="E7" s="3" t="inlineStr">
        <is>
          <t>Health Care</t>
        </is>
      </c>
      <c r="F7" s="5" t="n">
        <v>213.81</v>
      </c>
      <c r="G7" s="6" t="n">
        <v>4.674699108164759e-05</v>
      </c>
      <c r="H7" s="6" t="n">
        <v>-0.004608964055393905</v>
      </c>
      <c r="I7" s="6" t="n">
        <v>0.01413459043617071</v>
      </c>
      <c r="J7" s="6" t="n">
        <v>0.1500725799951705</v>
      </c>
      <c r="K7" s="6" t="n">
        <v>0.2766570481781769</v>
      </c>
      <c r="L7" s="6" t="n">
        <v>0.2580614548197333</v>
      </c>
      <c r="M7" s="6" t="n">
        <v>0.2438467443616017</v>
      </c>
      <c r="N7" s="6" t="n">
        <v>0.5271739876768911</v>
      </c>
      <c r="O7" s="6" t="n">
        <v>0.6583910747688715</v>
      </c>
      <c r="P7" s="6" t="n">
        <v>0.1836654847421033</v>
      </c>
    </row>
    <row r="8">
      <c r="A8" s="3" t="n">
        <v>7</v>
      </c>
      <c r="B8" s="4" t="n">
        <v>89</v>
      </c>
      <c r="C8" s="3" t="inlineStr">
        <is>
          <t>XOP</t>
        </is>
      </c>
      <c r="D8" s="3" t="inlineStr">
        <is>
          <t>Oil &amp; Gas Exploration &amp; Production</t>
        </is>
      </c>
      <c r="E8" s="3" t="inlineStr">
        <is>
          <t>Energy</t>
        </is>
      </c>
      <c r="F8" s="5" t="n">
        <v>192.33</v>
      </c>
      <c r="G8" s="6" t="n">
        <v>-0.004296965289494414</v>
      </c>
      <c r="H8" s="6" t="n">
        <v>0.03698711686634648</v>
      </c>
      <c r="I8" s="6" t="n">
        <v>0.0260336354348405</v>
      </c>
      <c r="J8" s="6" t="n">
        <v>0.1035689877104935</v>
      </c>
      <c r="K8" s="6" t="n">
        <v>0.1293909085410792</v>
      </c>
      <c r="L8" s="6" t="n">
        <v>0.2205134516540377</v>
      </c>
      <c r="M8" s="6" t="n">
        <v>0.4321958029276494</v>
      </c>
      <c r="N8" s="6" t="n">
        <v>0.5041175605435426</v>
      </c>
      <c r="O8" s="6" t="n">
        <v>0.3550411956189878</v>
      </c>
      <c r="P8" s="6" t="n">
        <v>0.1065834387832723</v>
      </c>
    </row>
    <row r="9">
      <c r="A9" s="3" t="n">
        <v>8</v>
      </c>
      <c r="B9" s="4" t="n">
        <v>88</v>
      </c>
      <c r="C9" s="3" t="inlineStr">
        <is>
          <t>HACK</t>
        </is>
      </c>
      <c r="D9" s="3" t="inlineStr">
        <is>
          <t>Cybersecurity</t>
        </is>
      </c>
      <c r="E9" s="3" t="inlineStr">
        <is>
          <t>Technology</t>
        </is>
      </c>
      <c r="F9" s="5" t="n">
        <v>111.53</v>
      </c>
      <c r="G9" s="6" t="n">
        <v>0.01965625872980836</v>
      </c>
      <c r="H9" s="6" t="n">
        <v>-0.05945355829731069</v>
      </c>
      <c r="I9" s="6" t="n">
        <v>0.01603354459373252</v>
      </c>
      <c r="J9" s="6" t="n">
        <v>0.01714543754907538</v>
      </c>
      <c r="K9" s="6" t="n">
        <v>0.09118481340677431</v>
      </c>
      <c r="L9" s="6" t="n">
        <v>0.4821262296252076</v>
      </c>
      <c r="M9" s="6" t="n">
        <v>0.3236746217146977</v>
      </c>
      <c r="N9" s="6" t="n">
        <v>0.3422999601675059</v>
      </c>
      <c r="O9" s="6" t="n">
        <v>1.103989934902573</v>
      </c>
      <c r="P9" s="6" t="n">
        <v>0.281389672130232</v>
      </c>
    </row>
    <row r="10">
      <c r="A10" s="3" t="n">
        <v>9</v>
      </c>
      <c r="B10" s="4" t="n">
        <v>86</v>
      </c>
      <c r="C10" s="3" t="inlineStr">
        <is>
          <t>COPX</t>
        </is>
      </c>
      <c r="D10" s="3" t="inlineStr">
        <is>
          <t>Copper Miners</t>
        </is>
      </c>
      <c r="E10" s="3" t="inlineStr">
        <is>
          <t>Materials</t>
        </is>
      </c>
      <c r="F10" s="5" t="n">
        <v>91.25</v>
      </c>
      <c r="G10" s="6" t="n">
        <v>0.0150166679778363</v>
      </c>
      <c r="H10" s="6" t="n">
        <v>-0.05391391511430166</v>
      </c>
      <c r="I10" s="6" t="n">
        <v>0.01467807951011713</v>
      </c>
      <c r="J10" s="6" t="n">
        <v>0.149823579866474</v>
      </c>
      <c r="K10" s="6" t="n">
        <v>0.01451627063278749</v>
      </c>
      <c r="L10" s="6" t="n">
        <v>0.05217301343437675</v>
      </c>
      <c r="M10" s="6" t="n">
        <v>0.3888683093117413</v>
      </c>
      <c r="N10" s="6" t="n">
        <v>0.8363110664567146</v>
      </c>
      <c r="O10" s="6" t="n">
        <v>1.527976083787906</v>
      </c>
      <c r="P10" s="6" t="n">
        <v>0.3622526256348353</v>
      </c>
    </row>
    <row r="11">
      <c r="A11" s="3" t="n">
        <v>10</v>
      </c>
      <c r="B11" s="4" t="n">
        <v>85</v>
      </c>
      <c r="C11" s="3" t="inlineStr">
        <is>
          <t>SIL</t>
        </is>
      </c>
      <c r="D11" s="3" t="inlineStr">
        <is>
          <t>Silver Miners</t>
        </is>
      </c>
      <c r="E11" s="3" t="inlineStr">
        <is>
          <t>Materials</t>
        </is>
      </c>
      <c r="F11" s="5" t="n">
        <v>101.36</v>
      </c>
      <c r="G11" s="6" t="n">
        <v>0.02705439358490769</v>
      </c>
      <c r="H11" s="6" t="n">
        <v>-0.01725808405885565</v>
      </c>
      <c r="I11" s="6" t="n">
        <v>0.04001643302395896</v>
      </c>
      <c r="J11" s="6" t="n">
        <v>0.3373795934284731</v>
      </c>
      <c r="K11" s="6" t="n">
        <v>0.16013016761884</v>
      </c>
      <c r="L11" s="6" t="n">
        <v>-0.04748692911769004</v>
      </c>
      <c r="M11" s="6" t="n">
        <v>0.3417800449392447</v>
      </c>
      <c r="N11" s="6" t="n">
        <v>0.6835003079552564</v>
      </c>
      <c r="O11" s="6" t="n">
        <v>3.047451187585888</v>
      </c>
      <c r="P11" s="6" t="n">
        <v>0.5936533987441197</v>
      </c>
    </row>
    <row r="12">
      <c r="A12" s="3" t="n">
        <v>11</v>
      </c>
      <c r="B12" s="4" t="n">
        <v>83</v>
      </c>
      <c r="C12" s="3" t="inlineStr">
        <is>
          <t>OIH</t>
        </is>
      </c>
      <c r="D12" s="3" t="inlineStr">
        <is>
          <t>Oil Services &amp; Equipment</t>
        </is>
      </c>
      <c r="E12" s="3" t="inlineStr">
        <is>
          <t>Energy</t>
        </is>
      </c>
      <c r="F12" s="5" t="n">
        <v>429.81</v>
      </c>
      <c r="G12" s="6" t="n">
        <v>-0.01550686981055938</v>
      </c>
      <c r="H12" s="6" t="n">
        <v>0.0358115072042664</v>
      </c>
      <c r="I12" s="6" t="n">
        <v>0.03304811825381893</v>
      </c>
      <c r="J12" s="6" t="n">
        <v>0.124774270710313</v>
      </c>
      <c r="K12" s="6" t="n">
        <v>-0.003269801164412445</v>
      </c>
      <c r="L12" s="6" t="n">
        <v>0.1176669447869587</v>
      </c>
      <c r="M12" s="6" t="n">
        <v>0.4340019192636544</v>
      </c>
      <c r="N12" s="6" t="n">
        <v>0.7502709785625572</v>
      </c>
      <c r="O12" s="6" t="n">
        <v>0.2943302619518193</v>
      </c>
      <c r="P12" s="6" t="n">
        <v>0.08980392678651405</v>
      </c>
    </row>
    <row r="13">
      <c r="A13" s="3" t="n">
        <v>12</v>
      </c>
      <c r="B13" s="4" t="n">
        <v>81</v>
      </c>
      <c r="C13" s="3" t="inlineStr">
        <is>
          <t>CLOU</t>
        </is>
      </c>
      <c r="D13" s="3" t="inlineStr">
        <is>
          <t>Cloud Computing &amp; SaaS</t>
        </is>
      </c>
      <c r="E13" s="3" t="inlineStr">
        <is>
          <t>Technology</t>
        </is>
      </c>
      <c r="F13" s="5" t="n">
        <v>28.45</v>
      </c>
      <c r="G13" s="6" t="n">
        <v>0.03680758779972537</v>
      </c>
      <c r="H13" s="6" t="n">
        <v>-0.01625170512152785</v>
      </c>
      <c r="I13" s="6" t="n">
        <v>0.02818939951192001</v>
      </c>
      <c r="J13" s="6" t="n">
        <v>0.1018590665840493</v>
      </c>
      <c r="K13" s="6" t="n">
        <v>0.1522883818368193</v>
      </c>
      <c r="L13" s="6" t="n">
        <v>0.4840897574184868</v>
      </c>
      <c r="M13" s="6" t="n">
        <v>0.2326690146007209</v>
      </c>
      <c r="N13" s="6" t="n">
        <v>0.2594068424421965</v>
      </c>
      <c r="O13" s="6" t="n">
        <v>0.3777240333413783</v>
      </c>
      <c r="P13" s="6" t="n">
        <v>0.1127238876668903</v>
      </c>
    </row>
    <row r="14">
      <c r="A14" s="3" t="n">
        <v>13</v>
      </c>
      <c r="B14" s="4" t="n">
        <v>80</v>
      </c>
      <c r="C14" s="3" t="inlineStr">
        <is>
          <t>CIBR</t>
        </is>
      </c>
      <c r="D14" s="3" t="inlineStr">
        <is>
          <t>Cybersecurity Leaders</t>
        </is>
      </c>
      <c r="E14" s="3" t="inlineStr">
        <is>
          <t>Technology</t>
        </is>
      </c>
      <c r="F14" s="5" t="n">
        <v>95.31999999999999</v>
      </c>
      <c r="G14" s="6" t="n">
        <v>0.01902927904506146</v>
      </c>
      <c r="H14" s="6" t="n">
        <v>-0.0542712686875314</v>
      </c>
      <c r="I14" s="6" t="n">
        <v>0.02001073095398542</v>
      </c>
      <c r="J14" s="6" t="n">
        <v>0.01501433263476426</v>
      </c>
      <c r="K14" s="6" t="n">
        <v>0.04071096437281452</v>
      </c>
      <c r="L14" s="6" t="n">
        <v>0.495350705866505</v>
      </c>
      <c r="M14" s="6" t="n">
        <v>0.2908266134760549</v>
      </c>
      <c r="N14" s="6" t="n">
        <v>0.3273164645556579</v>
      </c>
      <c r="O14" s="6" t="n">
        <v>1.044560375064047</v>
      </c>
      <c r="P14" s="6" t="n">
        <v>0.2692094973257417</v>
      </c>
    </row>
    <row r="15">
      <c r="A15" s="3" t="n">
        <v>14</v>
      </c>
      <c r="B15" s="7" t="n">
        <v>78</v>
      </c>
      <c r="C15" s="3" t="inlineStr">
        <is>
          <t>NXTG</t>
        </is>
      </c>
      <c r="D15" s="3" t="inlineStr">
        <is>
          <t>NextGen 5G &amp; Telecom Infrastructure</t>
        </is>
      </c>
      <c r="E15" s="3" t="inlineStr">
        <is>
          <t>Communication</t>
        </is>
      </c>
      <c r="F15" s="5" t="n">
        <v>153.04</v>
      </c>
      <c r="G15" s="6" t="n">
        <v>0.005386887786453132</v>
      </c>
      <c r="H15" s="6" t="n">
        <v>0.000981057604049651</v>
      </c>
      <c r="I15" s="6" t="n">
        <v>0.01552751416905673</v>
      </c>
      <c r="J15" s="6" t="n">
        <v>0.04222280783755594</v>
      </c>
      <c r="K15" s="6" t="n">
        <v>-0.07571782197150689</v>
      </c>
      <c r="L15" s="6" t="n">
        <v>0.3290334925516047</v>
      </c>
      <c r="M15" s="6" t="n">
        <v>0.4361338191167652</v>
      </c>
      <c r="N15" s="6" t="n">
        <v>0.5793093375985185</v>
      </c>
      <c r="O15" s="6" t="n">
        <v>1.277816190694107</v>
      </c>
      <c r="P15" s="6" t="n">
        <v>0.3157485250967675</v>
      </c>
    </row>
    <row r="16">
      <c r="A16" s="3" t="n">
        <v>15</v>
      </c>
      <c r="B16" s="7" t="n">
        <v>77</v>
      </c>
      <c r="C16" s="3" t="inlineStr">
        <is>
          <t>GDX</t>
        </is>
      </c>
      <c r="D16" s="3" t="inlineStr">
        <is>
          <t>Gold Miners</t>
        </is>
      </c>
      <c r="E16" s="3" t="inlineStr">
        <is>
          <t>Materials</t>
        </is>
      </c>
      <c r="F16" s="5" t="n">
        <v>101.49</v>
      </c>
      <c r="G16" s="6" t="n">
        <v>0.03953703491696481</v>
      </c>
      <c r="H16" s="6" t="n">
        <v>-0.02121713304886752</v>
      </c>
      <c r="I16" s="6" t="n">
        <v>0.01642463109374503</v>
      </c>
      <c r="J16" s="6" t="n">
        <v>0.3345166836442843</v>
      </c>
      <c r="K16" s="6" t="n">
        <v>0.1939999748678769</v>
      </c>
      <c r="L16" s="6" t="n">
        <v>-0.0356328399479281</v>
      </c>
      <c r="M16" s="6" t="n">
        <v>0.2611287467453818</v>
      </c>
      <c r="N16" s="6" t="n">
        <v>0.5679002625445309</v>
      </c>
      <c r="O16" s="6" t="n">
        <v>2.613803632752981</v>
      </c>
      <c r="P16" s="6" t="n">
        <v>0.5345752283058569</v>
      </c>
    </row>
    <row r="17">
      <c r="A17" s="3" t="n">
        <v>16</v>
      </c>
      <c r="B17" s="7" t="n">
        <v>75</v>
      </c>
      <c r="C17" s="3" t="inlineStr">
        <is>
          <t>SLX</t>
        </is>
      </c>
      <c r="D17" s="3" t="inlineStr">
        <is>
          <t>Steel Industry</t>
        </is>
      </c>
      <c r="E17" s="3" t="inlineStr">
        <is>
          <t>Materials</t>
        </is>
      </c>
      <c r="F17" s="5" t="n">
        <v>110.85</v>
      </c>
      <c r="G17" s="6" t="n">
        <v>0.005350955255394085</v>
      </c>
      <c r="H17" s="6" t="n">
        <v>0.01020682660096472</v>
      </c>
      <c r="I17" s="6" t="n">
        <v>0.05772896227279078</v>
      </c>
      <c r="J17" s="6" t="n">
        <v>0.04981534537986287</v>
      </c>
      <c r="K17" s="6" t="n">
        <v>-0.01256016065631549</v>
      </c>
      <c r="L17" s="6" t="n">
        <v>0.1590338684811714</v>
      </c>
      <c r="M17" s="6" t="n">
        <v>0.348337816399531</v>
      </c>
      <c r="N17" s="6" t="n">
        <v>0.6150270682329779</v>
      </c>
      <c r="O17" s="6" t="n">
        <v>0.7525337370739409</v>
      </c>
      <c r="P17" s="6" t="n">
        <v>0.205652438944552</v>
      </c>
    </row>
    <row r="18">
      <c r="A18" s="3" t="n">
        <v>17</v>
      </c>
      <c r="B18" s="7" t="n">
        <v>73</v>
      </c>
      <c r="C18" s="3" t="inlineStr">
        <is>
          <t>IHF</t>
        </is>
      </c>
      <c r="D18" s="3" t="inlineStr">
        <is>
          <t>Health Care Providers &amp; Managed Care</t>
        </is>
      </c>
      <c r="E18" s="3" t="inlineStr">
        <is>
          <t>Health Care</t>
        </is>
      </c>
      <c r="F18" s="5" t="n">
        <v>58</v>
      </c>
      <c r="G18" s="6" t="n">
        <v>0.006071092191801242</v>
      </c>
      <c r="H18" s="6" t="n">
        <v>0.0129235365029432</v>
      </c>
      <c r="I18" s="6" t="n">
        <v>0.02836876650414522</v>
      </c>
      <c r="J18" s="6" t="n">
        <v>0.02022869932709681</v>
      </c>
      <c r="K18" s="6" t="n">
        <v>0.1608317085704944</v>
      </c>
      <c r="L18" s="6" t="n">
        <v>0.2802273032885436</v>
      </c>
      <c r="M18" s="6" t="n">
        <v>0.2023008614708504</v>
      </c>
      <c r="N18" s="6" t="n">
        <v>0.239166569748654</v>
      </c>
      <c r="O18" s="6" t="n">
        <v>0.2083776046495234</v>
      </c>
      <c r="P18" s="6" t="n">
        <v>0.06512576255878311</v>
      </c>
    </row>
    <row r="19">
      <c r="A19" s="3" t="n">
        <v>18</v>
      </c>
      <c r="B19" s="7" t="n">
        <v>72</v>
      </c>
      <c r="C19" s="3" t="inlineStr">
        <is>
          <t>XSD</t>
        </is>
      </c>
      <c r="D19" s="3" t="inlineStr">
        <is>
          <t>Semiconductors - Equal Weight</t>
        </is>
      </c>
      <c r="E19" s="3" t="inlineStr">
        <is>
          <t>Technology</t>
        </is>
      </c>
      <c r="F19" s="5" t="n">
        <v>478.52</v>
      </c>
      <c r="G19" s="6" t="n">
        <v>0.002976279379565128</v>
      </c>
      <c r="H19" s="6" t="n">
        <v>-0.04345744278487995</v>
      </c>
      <c r="I19" s="6" t="n">
        <v>-0.03667915122377496</v>
      </c>
      <c r="J19" s="6" t="n">
        <v>-0.03360532863189902</v>
      </c>
      <c r="K19" s="6" t="n">
        <v>-0.2632396691450031</v>
      </c>
      <c r="L19" s="6" t="n">
        <v>0.4152482948354108</v>
      </c>
      <c r="M19" s="6" t="n">
        <v>0.4207579910339028</v>
      </c>
      <c r="N19" s="6" t="n">
        <v>0.7002465551887624</v>
      </c>
      <c r="O19" s="6" t="n">
        <v>1.250607285241203</v>
      </c>
      <c r="P19" s="6" t="n">
        <v>0.3104885781713693</v>
      </c>
    </row>
    <row r="20">
      <c r="A20" s="3" t="n">
        <v>19</v>
      </c>
      <c r="B20" s="7" t="n">
        <v>70</v>
      </c>
      <c r="C20" s="3" t="inlineStr">
        <is>
          <t>FCG</t>
        </is>
      </c>
      <c r="D20" s="3" t="inlineStr">
        <is>
          <t>Natural Gas Producers</t>
        </is>
      </c>
      <c r="E20" s="3" t="inlineStr">
        <is>
          <t>Energy</t>
        </is>
      </c>
      <c r="F20" s="5" t="n">
        <v>31.75</v>
      </c>
      <c r="G20" s="6" t="n">
        <v>-0.006259804637358424</v>
      </c>
      <c r="H20" s="6" t="n">
        <v>0.02617968493732792</v>
      </c>
      <c r="I20" s="6" t="n">
        <v>0.004111295297794637</v>
      </c>
      <c r="J20" s="6" t="n">
        <v>0.09144035178616083</v>
      </c>
      <c r="K20" s="6" t="n">
        <v>0.07297791725353031</v>
      </c>
      <c r="L20" s="6" t="n">
        <v>0.1228005043722469</v>
      </c>
      <c r="M20" s="6" t="n">
        <v>0.2888288861791835</v>
      </c>
      <c r="N20" s="6" t="n">
        <v>0.3783578655063586</v>
      </c>
      <c r="O20" s="6" t="n">
        <v>0.2687630064042024</v>
      </c>
      <c r="P20" s="6" t="n">
        <v>0.08258042278730571</v>
      </c>
    </row>
    <row r="21">
      <c r="A21" s="3" t="n">
        <v>20</v>
      </c>
      <c r="B21" s="7" t="n">
        <v>68</v>
      </c>
      <c r="C21" s="3" t="inlineStr">
        <is>
          <t>AMLP</t>
        </is>
      </c>
      <c r="D21" s="3" t="inlineStr">
        <is>
          <t>Midstream Energy &amp; MLPs</t>
        </is>
      </c>
      <c r="E21" s="3" t="inlineStr">
        <is>
          <t>Energy</t>
        </is>
      </c>
      <c r="F21" s="5" t="n">
        <v>55.42</v>
      </c>
      <c r="G21" s="6" t="n">
        <v>-0.006632062027427832</v>
      </c>
      <c r="H21" s="6" t="n">
        <v>0.001988732470135313</v>
      </c>
      <c r="I21" s="6" t="n">
        <v>0.009287895154806547</v>
      </c>
      <c r="J21" s="6" t="n">
        <v>0.02413596401317508</v>
      </c>
      <c r="K21" s="6" t="n">
        <v>0.0737945992226825</v>
      </c>
      <c r="L21" s="6" t="n">
        <v>0.09610590203325553</v>
      </c>
      <c r="M21" s="6" t="n">
        <v>0.2337334950794669</v>
      </c>
      <c r="N21" s="6" t="n">
        <v>0.2451110091041762</v>
      </c>
      <c r="O21" s="6" t="n">
        <v>0.6893720296053669</v>
      </c>
      <c r="P21" s="6" t="n">
        <v>0.190990872467965</v>
      </c>
    </row>
    <row r="22">
      <c r="A22" s="3" t="n">
        <v>21</v>
      </c>
      <c r="B22" s="7" t="n">
        <v>67</v>
      </c>
      <c r="C22" s="3" t="inlineStr">
        <is>
          <t>KBE</t>
        </is>
      </c>
      <c r="D22" s="3" t="inlineStr">
        <is>
          <t>Commercial Banking</t>
        </is>
      </c>
      <c r="E22" s="3" t="inlineStr">
        <is>
          <t>Financials</t>
        </is>
      </c>
      <c r="F22" s="5" t="n">
        <v>69.11</v>
      </c>
      <c r="G22" s="6" t="n">
        <v>0.01111927071246721</v>
      </c>
      <c r="H22" s="6" t="n">
        <v>0.01008480648746102</v>
      </c>
      <c r="I22" s="6" t="n">
        <v>0.007140743867048771</v>
      </c>
      <c r="J22" s="6" t="n">
        <v>-0.01999427254444541</v>
      </c>
      <c r="K22" s="6" t="n">
        <v>0.1193997564192053</v>
      </c>
      <c r="L22" s="6" t="n">
        <v>0.1361901985131193</v>
      </c>
      <c r="M22" s="6" t="n">
        <v>0.1671897085004139</v>
      </c>
      <c r="N22" s="6" t="n">
        <v>0.1669334172919332</v>
      </c>
      <c r="O22" s="6" t="n">
        <v>0.8816946828083627</v>
      </c>
      <c r="P22" s="6" t="n">
        <v>0.2345718946069837</v>
      </c>
    </row>
    <row r="23">
      <c r="A23" s="3" t="n">
        <v>22</v>
      </c>
      <c r="B23" s="7" t="n">
        <v>65</v>
      </c>
      <c r="C23" s="3" t="inlineStr">
        <is>
          <t>IAK</t>
        </is>
      </c>
      <c r="D23" s="3" t="inlineStr">
        <is>
          <t>Property &amp; Casualty Insurance</t>
        </is>
      </c>
      <c r="E23" s="3" t="inlineStr">
        <is>
          <t>Financials</t>
        </is>
      </c>
      <c r="F23" s="5" t="n">
        <v>147.87</v>
      </c>
      <c r="G23" s="6" t="n">
        <v>0.0212722009384172</v>
      </c>
      <c r="H23" s="6" t="n">
        <v>0.02247268780064937</v>
      </c>
      <c r="I23" s="6" t="n">
        <v>0.02587758945007268</v>
      </c>
      <c r="J23" s="6" t="n">
        <v>0.004483312093064074</v>
      </c>
      <c r="K23" s="6" t="n">
        <v>0.1588731669446615</v>
      </c>
      <c r="L23" s="6" t="n">
        <v>0.1034968710671986</v>
      </c>
      <c r="M23" s="6" t="n">
        <v>0.1378489450060874</v>
      </c>
      <c r="N23" s="6" t="n">
        <v>0.1422805775332263</v>
      </c>
      <c r="O23" s="6" t="n">
        <v>0.7058434613377909</v>
      </c>
      <c r="P23" s="6" t="n">
        <v>0.1948490933750473</v>
      </c>
    </row>
    <row r="24">
      <c r="A24" s="3" t="n">
        <v>23</v>
      </c>
      <c r="B24" s="7" t="n">
        <v>64</v>
      </c>
      <c r="C24" s="3" t="inlineStr">
        <is>
          <t>KRE</t>
        </is>
      </c>
      <c r="D24" s="3" t="inlineStr">
        <is>
          <t>Regional Banks</t>
        </is>
      </c>
      <c r="E24" s="3" t="inlineStr">
        <is>
          <t>Financials</t>
        </is>
      </c>
      <c r="F24" s="5" t="n">
        <v>74.87</v>
      </c>
      <c r="G24" s="6" t="n">
        <v>0.008486057394136326</v>
      </c>
      <c r="H24" s="6" t="n">
        <v>0.006994005153099447</v>
      </c>
      <c r="I24" s="6" t="n">
        <v>0.002141663285639472</v>
      </c>
      <c r="J24" s="6" t="n">
        <v>-0.02841934702043725</v>
      </c>
      <c r="K24" s="6" t="n">
        <v>0.1094263629937107</v>
      </c>
      <c r="L24" s="6" t="n">
        <v>0.1254862390771467</v>
      </c>
      <c r="M24" s="6" t="n">
        <v>0.178948854327444</v>
      </c>
      <c r="N24" s="6" t="n">
        <v>0.1767456606926607</v>
      </c>
      <c r="O24" s="6" t="n">
        <v>0.7850939136230417</v>
      </c>
      <c r="P24" s="6" t="n">
        <v>0.2130732417908634</v>
      </c>
    </row>
    <row r="25">
      <c r="A25" s="3" t="n">
        <v>24</v>
      </c>
      <c r="B25" s="7" t="n">
        <v>62</v>
      </c>
      <c r="C25" s="3" t="inlineStr">
        <is>
          <t>KBWP</t>
        </is>
      </c>
      <c r="D25" s="3" t="inlineStr">
        <is>
          <t>Insurance Underwriters</t>
        </is>
      </c>
      <c r="E25" s="3" t="inlineStr">
        <is>
          <t>Financials</t>
        </is>
      </c>
      <c r="F25" s="5" t="n">
        <v>135.15</v>
      </c>
      <c r="G25" s="6" t="n">
        <v>0.01342226513152744</v>
      </c>
      <c r="H25" s="6" t="n">
        <v>0.01024065727080514</v>
      </c>
      <c r="I25" s="6" t="n">
        <v>0.0110720112801117</v>
      </c>
      <c r="J25" s="6" t="n">
        <v>-0.0005177290606919183</v>
      </c>
      <c r="K25" s="6" t="n">
        <v>0.1787729857964029</v>
      </c>
      <c r="L25" s="6" t="n">
        <v>0.08026684958158703</v>
      </c>
      <c r="M25" s="6" t="n">
        <v>0.1211721611721612</v>
      </c>
      <c r="N25" s="6" t="n">
        <v>0.1277823025759601</v>
      </c>
      <c r="O25" s="6" t="n">
        <v>0.7042290025192495</v>
      </c>
      <c r="P25" s="6" t="n">
        <v>0.194472027994786</v>
      </c>
    </row>
    <row r="26">
      <c r="A26" s="3" t="n">
        <v>25</v>
      </c>
      <c r="B26" s="7" t="n">
        <v>60</v>
      </c>
      <c r="C26" s="3" t="inlineStr">
        <is>
          <t>IAI</t>
        </is>
      </c>
      <c r="D26" s="3" t="inlineStr">
        <is>
          <t>Broker-Dealers &amp; Securities Exchanges</t>
        </is>
      </c>
      <c r="E26" s="3" t="inlineStr">
        <is>
          <t>Financials</t>
        </is>
      </c>
      <c r="F26" s="5" t="n">
        <v>198.06</v>
      </c>
      <c r="G26" s="6" t="n">
        <v>0.03794146293094758</v>
      </c>
      <c r="H26" s="6" t="n">
        <v>0.01387249229796339</v>
      </c>
      <c r="I26" s="6" t="n">
        <v>0.04876881735460348</v>
      </c>
      <c r="J26" s="6" t="n">
        <v>0.05733498726479302</v>
      </c>
      <c r="K26" s="6" t="n">
        <v>0.109086150560056</v>
      </c>
      <c r="L26" s="6" t="n">
        <v>0.1650156221769481</v>
      </c>
      <c r="M26" s="6" t="n">
        <v>0.1283114549422031</v>
      </c>
      <c r="N26" s="6" t="n">
        <v>0.1655074949058668</v>
      </c>
      <c r="O26" s="6" t="n">
        <v>1.159796767058759</v>
      </c>
      <c r="P26" s="6" t="n">
        <v>0.292620270886548</v>
      </c>
    </row>
    <row r="27">
      <c r="A27" s="3" t="n">
        <v>26</v>
      </c>
      <c r="B27" s="7" t="n">
        <v>59</v>
      </c>
      <c r="C27" s="3" t="inlineStr">
        <is>
          <t>LIT</t>
        </is>
      </c>
      <c r="D27" s="3" t="inlineStr">
        <is>
          <t>Lithium &amp; Battery Tech</t>
        </is>
      </c>
      <c r="E27" s="3" t="inlineStr">
        <is>
          <t>Materials</t>
        </is>
      </c>
      <c r="F27" s="5" t="n">
        <v>74.45999999999999</v>
      </c>
      <c r="G27" s="6" t="n">
        <v>0.002693198794625484</v>
      </c>
      <c r="H27" s="6" t="n">
        <v>-0.03461685808405746</v>
      </c>
      <c r="I27" s="6" t="n">
        <v>-0.001609047246390105</v>
      </c>
      <c r="J27" s="6" t="n">
        <v>0.07275601722983405</v>
      </c>
      <c r="K27" s="6" t="n">
        <v>-0.1187830029032533</v>
      </c>
      <c r="L27" s="6" t="n">
        <v>0.06297199123406139</v>
      </c>
      <c r="M27" s="6" t="n">
        <v>0.1886990523410852</v>
      </c>
      <c r="N27" s="6" t="n">
        <v>0.598446727687884</v>
      </c>
      <c r="O27" s="6" t="n">
        <v>0.2878398128970554</v>
      </c>
      <c r="P27" s="6" t="n">
        <v>0.08797925775977444</v>
      </c>
    </row>
    <row r="28">
      <c r="A28" s="3" t="n">
        <v>27</v>
      </c>
      <c r="B28" s="7" t="n">
        <v>57</v>
      </c>
      <c r="C28" s="3" t="inlineStr">
        <is>
          <t>XME</t>
        </is>
      </c>
      <c r="D28" s="3" t="inlineStr">
        <is>
          <t>Metals &amp; Mining</t>
        </is>
      </c>
      <c r="E28" s="3" t="inlineStr">
        <is>
          <t>Materials</t>
        </is>
      </c>
      <c r="F28" s="5" t="n">
        <v>118.38</v>
      </c>
      <c r="G28" s="6" t="n">
        <v>-0.009040698470883068</v>
      </c>
      <c r="H28" s="6" t="n">
        <v>-0.03756099793969137</v>
      </c>
      <c r="I28" s="6" t="n">
        <v>0.03208370011410167</v>
      </c>
      <c r="J28" s="6" t="n">
        <v>0.1480942348237499</v>
      </c>
      <c r="K28" s="6" t="n">
        <v>-0.07833976807831888</v>
      </c>
      <c r="L28" s="6" t="n">
        <v>0.01069573474015062</v>
      </c>
      <c r="M28" s="6" t="n">
        <v>0.1907290248805784</v>
      </c>
      <c r="N28" s="6" t="n">
        <v>0.4571096377524888</v>
      </c>
      <c r="O28" s="6" t="n">
        <v>1.265548457238499</v>
      </c>
      <c r="P28" s="6" t="n">
        <v>0.313382177184296</v>
      </c>
    </row>
    <row r="29">
      <c r="A29" s="3" t="n">
        <v>28</v>
      </c>
      <c r="B29" s="7" t="n">
        <v>56</v>
      </c>
      <c r="C29" s="3" t="inlineStr">
        <is>
          <t>REZ</t>
        </is>
      </c>
      <c r="D29" s="3" t="inlineStr">
        <is>
          <t>Residential &amp; Healthcare REITs</t>
        </is>
      </c>
      <c r="E29" s="3" t="inlineStr">
        <is>
          <t>Real Estate</t>
        </is>
      </c>
      <c r="F29" s="5" t="n">
        <v>94.27</v>
      </c>
      <c r="G29" s="6" t="n">
        <v>0.003299250336465498</v>
      </c>
      <c r="H29" s="6" t="n">
        <v>-0.006638618257984952</v>
      </c>
      <c r="I29" s="6" t="n">
        <v>-0.01555978968175398</v>
      </c>
      <c r="J29" s="6" t="n">
        <v>-0.01822537035181582</v>
      </c>
      <c r="K29" s="6" t="n">
        <v>0.07335361409623053</v>
      </c>
      <c r="L29" s="6" t="n">
        <v>0.06014823354058407</v>
      </c>
      <c r="M29" s="6" t="n">
        <v>0.1125523865863327</v>
      </c>
      <c r="N29" s="6" t="n">
        <v>0.152414378173273</v>
      </c>
      <c r="O29" s="6" t="n">
        <v>0.4371591646345165</v>
      </c>
      <c r="P29" s="6" t="n">
        <v>0.1285001545619042</v>
      </c>
    </row>
    <row r="30">
      <c r="A30" s="3" t="n">
        <v>29</v>
      </c>
      <c r="B30" s="7" t="n">
        <v>54</v>
      </c>
      <c r="C30" s="3" t="inlineStr">
        <is>
          <t>FDN</t>
        </is>
      </c>
      <c r="D30" s="3" t="inlineStr">
        <is>
          <t>Internet &amp; Digital Services</t>
        </is>
      </c>
      <c r="E30" s="3" t="inlineStr">
        <is>
          <t>Technology</t>
        </is>
      </c>
      <c r="F30" s="5" t="n">
        <v>293.42</v>
      </c>
      <c r="G30" s="6" t="n">
        <v>0.020981935599514</v>
      </c>
      <c r="H30" s="6" t="n">
        <v>-0.001395273332425617</v>
      </c>
      <c r="I30" s="6" t="n">
        <v>0.03309634806587503</v>
      </c>
      <c r="J30" s="6" t="n">
        <v>0.03736965563419647</v>
      </c>
      <c r="K30" s="6" t="n">
        <v>0.04635903065937974</v>
      </c>
      <c r="L30" s="6" t="n">
        <v>0.2114281214415874</v>
      </c>
      <c r="M30" s="6" t="n">
        <v>0.0804979233527352</v>
      </c>
      <c r="N30" s="6" t="n">
        <v>0.05683618335519225</v>
      </c>
      <c r="O30" s="6" t="n">
        <v>0.7168100587478097</v>
      </c>
      <c r="P30" s="6" t="n">
        <v>0.1974041243953104</v>
      </c>
    </row>
    <row r="31">
      <c r="A31" s="3" t="n">
        <v>30</v>
      </c>
      <c r="B31" s="7" t="n">
        <v>52</v>
      </c>
      <c r="C31" s="3" t="inlineStr">
        <is>
          <t>IGV</t>
        </is>
      </c>
      <c r="D31" s="3" t="inlineStr">
        <is>
          <t>Software &amp; Cloud Applications</t>
        </is>
      </c>
      <c r="E31" s="3" t="inlineStr">
        <is>
          <t>Technology</t>
        </is>
      </c>
      <c r="F31" s="5" t="n">
        <v>106.95</v>
      </c>
      <c r="G31" s="6" t="n">
        <v>0.03413265172883029</v>
      </c>
      <c r="H31" s="6" t="n">
        <v>-0.03054752316809639</v>
      </c>
      <c r="I31" s="6" t="n">
        <v>0.04945533416761827</v>
      </c>
      <c r="J31" s="6" t="n">
        <v>0.09782384477948769</v>
      </c>
      <c r="K31" s="6" t="n">
        <v>0.06756539815239604</v>
      </c>
      <c r="L31" s="6" t="n">
        <v>0.2716363184445163</v>
      </c>
      <c r="M31" s="6" t="n">
        <v>0.002718856892706345</v>
      </c>
      <c r="N31" s="6" t="n">
        <v>-0.003260805417516055</v>
      </c>
      <c r="O31" s="6" t="n">
        <v>0.4786713070584545</v>
      </c>
      <c r="P31" s="6" t="n">
        <v>0.1392627086160061</v>
      </c>
    </row>
    <row r="32">
      <c r="A32" s="3" t="n">
        <v>31</v>
      </c>
      <c r="B32" s="7" t="n">
        <v>51</v>
      </c>
      <c r="C32" s="3" t="inlineStr">
        <is>
          <t>IYK</t>
        </is>
      </c>
      <c r="D32" s="3" t="inlineStr">
        <is>
          <t>Consumer Staples Products</t>
        </is>
      </c>
      <c r="E32" s="3" t="inlineStr">
        <is>
          <t>Consumer Staples</t>
        </is>
      </c>
      <c r="F32" s="5" t="n">
        <v>75.13</v>
      </c>
      <c r="G32" s="6" t="n">
        <v>-0.005427636446124207</v>
      </c>
      <c r="H32" s="6" t="n">
        <v>0.005890946547456588</v>
      </c>
      <c r="I32" s="6" t="n">
        <v>0.002000451984115692</v>
      </c>
      <c r="J32" s="6" t="n">
        <v>0.01253369735074927</v>
      </c>
      <c r="K32" s="6" t="n">
        <v>0.07339763549119849</v>
      </c>
      <c r="L32" s="6" t="n">
        <v>0.005917148278979711</v>
      </c>
      <c r="M32" s="6" t="n">
        <v>0.1332216618316726</v>
      </c>
      <c r="N32" s="6" t="n">
        <v>0.1020636444438079</v>
      </c>
      <c r="O32" s="6" t="n">
        <v>0.2504188246498156</v>
      </c>
      <c r="P32" s="6" t="n">
        <v>0.07733764229529827</v>
      </c>
    </row>
    <row r="33">
      <c r="A33" s="3" t="n">
        <v>32</v>
      </c>
      <c r="B33" s="7" t="n">
        <v>49</v>
      </c>
      <c r="C33" s="3" t="inlineStr">
        <is>
          <t>VAW</t>
        </is>
      </c>
      <c r="D33" s="3" t="inlineStr">
        <is>
          <t>Chemicals &amp; Raw Materials</t>
        </is>
      </c>
      <c r="E33" s="3" t="inlineStr">
        <is>
          <t>Materials</t>
        </is>
      </c>
      <c r="F33" s="5" t="n">
        <v>236.13</v>
      </c>
      <c r="G33" s="6" t="n">
        <v>-0.004091105844508669</v>
      </c>
      <c r="H33" s="6" t="n">
        <v>-0.01411210263263973</v>
      </c>
      <c r="I33" s="6" t="n">
        <v>0.006521733757422821</v>
      </c>
      <c r="J33" s="6" t="n">
        <v>0.04403770082019109</v>
      </c>
      <c r="K33" s="6" t="n">
        <v>0.01255209975934335</v>
      </c>
      <c r="L33" s="6" t="n">
        <v>0.005591930111985555</v>
      </c>
      <c r="M33" s="6" t="n">
        <v>0.1769046746985605</v>
      </c>
      <c r="N33" s="6" t="n">
        <v>0.1663112969436042</v>
      </c>
      <c r="O33" s="6" t="n">
        <v>0.3439147732251464</v>
      </c>
      <c r="P33" s="6" t="n">
        <v>0.1035463432528485</v>
      </c>
    </row>
    <row r="34">
      <c r="A34" s="3" t="n">
        <v>33</v>
      </c>
      <c r="B34" s="7" t="n">
        <v>48</v>
      </c>
      <c r="C34" s="3" t="inlineStr">
        <is>
          <t>GGME</t>
        </is>
      </c>
      <c r="D34" s="3" t="inlineStr">
        <is>
          <t>Next-Gen Media &amp; Gaming</t>
        </is>
      </c>
      <c r="E34" s="3" t="inlineStr">
        <is>
          <t>Technology</t>
        </is>
      </c>
      <c r="F34" s="5" t="n">
        <v>64.86</v>
      </c>
      <c r="G34" s="6" t="n">
        <v>0.01138318085448975</v>
      </c>
      <c r="H34" s="6" t="n">
        <v>0.00886607072183998</v>
      </c>
      <c r="I34" s="6" t="n">
        <v>0.03395506270777338</v>
      </c>
      <c r="J34" s="6" t="n">
        <v>0.05738507416053795</v>
      </c>
      <c r="K34" s="6" t="n">
        <v>0.01417196926036568</v>
      </c>
      <c r="L34" s="6" t="n">
        <v>0.2313295373278899</v>
      </c>
      <c r="M34" s="6" t="n">
        <v>0.0716411778872319</v>
      </c>
      <c r="N34" s="6" t="n">
        <v>0.03199860544173916</v>
      </c>
      <c r="O34" s="6" t="n">
        <v>0.8826084929784705</v>
      </c>
      <c r="P34" s="6" t="n">
        <v>0.2347717112560468</v>
      </c>
    </row>
    <row r="35">
      <c r="A35" s="3" t="n">
        <v>34</v>
      </c>
      <c r="B35" s="7" t="n">
        <v>46</v>
      </c>
      <c r="C35" s="3" t="inlineStr">
        <is>
          <t>PEJ</t>
        </is>
      </c>
      <c r="D35" s="3" t="inlineStr">
        <is>
          <t>Leisure &amp; Entertainment</t>
        </is>
      </c>
      <c r="E35" s="3" t="inlineStr">
        <is>
          <t>Consumer Discretionary</t>
        </is>
      </c>
      <c r="F35" s="5" t="n">
        <v>64.91</v>
      </c>
      <c r="G35" s="6" t="n">
        <v>-0.004905713296888936</v>
      </c>
      <c r="H35" s="6" t="n">
        <v>-0.02916537437094013</v>
      </c>
      <c r="I35" s="6" t="n">
        <v>-0.03965072970833794</v>
      </c>
      <c r="J35" s="6" t="n">
        <v>-0.02843876614152008</v>
      </c>
      <c r="K35" s="6" t="n">
        <v>0.04482178318559438</v>
      </c>
      <c r="L35" s="6" t="n">
        <v>0.0789566595411606</v>
      </c>
      <c r="M35" s="6" t="n">
        <v>0.09358724063983948</v>
      </c>
      <c r="N35" s="6" t="n">
        <v>0.09878109574817051</v>
      </c>
      <c r="O35" s="6" t="n">
        <v>0.612665396179364</v>
      </c>
      <c r="P35" s="6" t="n">
        <v>0.1726851412999242</v>
      </c>
    </row>
    <row r="36">
      <c r="A36" s="3" t="n">
        <v>35</v>
      </c>
      <c r="B36" s="7" t="n">
        <v>44</v>
      </c>
      <c r="C36" s="3" t="inlineStr">
        <is>
          <t>IYT</t>
        </is>
      </c>
      <c r="D36" s="3" t="inlineStr">
        <is>
          <t>Transportation &amp; Freight</t>
        </is>
      </c>
      <c r="E36" s="3" t="inlineStr">
        <is>
          <t>Industrials</t>
        </is>
      </c>
      <c r="F36" s="5" t="n">
        <v>83.59999999999999</v>
      </c>
      <c r="G36" s="6" t="n">
        <v>0.003360523047556629</v>
      </c>
      <c r="H36" s="6" t="n">
        <v>-0.03240744215634239</v>
      </c>
      <c r="I36" s="6" t="n">
        <v>-0.0309493250590025</v>
      </c>
      <c r="J36" s="6" t="n">
        <v>-0.02654865920138505</v>
      </c>
      <c r="K36" s="6" t="n">
        <v>0.002262898912537059</v>
      </c>
      <c r="L36" s="6" t="n">
        <v>0.02992207172108619</v>
      </c>
      <c r="M36" s="6" t="n">
        <v>0.1188743760996529</v>
      </c>
      <c r="N36" s="6" t="n">
        <v>0.196990553189881</v>
      </c>
      <c r="O36" s="6" t="n">
        <v>0.3819397973908454</v>
      </c>
      <c r="P36" s="6" t="n">
        <v>0.1138576911105125</v>
      </c>
    </row>
    <row r="37">
      <c r="A37" s="3" t="n">
        <v>36</v>
      </c>
      <c r="B37" s="7" t="n">
        <v>43</v>
      </c>
      <c r="C37" s="3" t="inlineStr">
        <is>
          <t>FAN</t>
        </is>
      </c>
      <c r="D37" s="3" t="inlineStr">
        <is>
          <t>Wind Energy</t>
        </is>
      </c>
      <c r="E37" s="3" t="inlineStr">
        <is>
          <t>Energy</t>
        </is>
      </c>
      <c r="F37" s="5" t="n">
        <v>23.61</v>
      </c>
      <c r="G37" s="6" t="n">
        <v>0.01156814293052766</v>
      </c>
      <c r="H37" s="6" t="n">
        <v>-0.02357318807403852</v>
      </c>
      <c r="I37" s="6" t="n">
        <v>-0.01337232305655289</v>
      </c>
      <c r="J37" s="6" t="n">
        <v>-0.007983135831917343</v>
      </c>
      <c r="K37" s="6" t="n">
        <v>-0.0841048638237093</v>
      </c>
      <c r="L37" s="6" t="n">
        <v>0.009552977545299379</v>
      </c>
      <c r="M37" s="6" t="n">
        <v>0.1855310210585654</v>
      </c>
      <c r="N37" s="6" t="n">
        <v>0.312529000155233</v>
      </c>
      <c r="O37" s="6" t="n">
        <v>0.5577316769798648</v>
      </c>
      <c r="P37" s="6" t="n">
        <v>0.1592156005448311</v>
      </c>
    </row>
    <row r="38">
      <c r="A38" s="3" t="n">
        <v>37</v>
      </c>
      <c r="B38" s="7" t="n">
        <v>41</v>
      </c>
      <c r="C38" s="3" t="inlineStr">
        <is>
          <t>VNQ</t>
        </is>
      </c>
      <c r="D38" s="3" t="inlineStr">
        <is>
          <t>REITs - Broad</t>
        </is>
      </c>
      <c r="E38" s="3" t="inlineStr">
        <is>
          <t>Real Estate</t>
        </is>
      </c>
      <c r="F38" s="5" t="n">
        <v>96.66</v>
      </c>
      <c r="G38" s="6" t="n">
        <v>0.009187772959156959</v>
      </c>
      <c r="H38" s="6" t="n">
        <v>-0.01013822681310628</v>
      </c>
      <c r="I38" s="6" t="n">
        <v>-0.01967540407742396</v>
      </c>
      <c r="J38" s="6" t="n">
        <v>-0.02432619400563851</v>
      </c>
      <c r="K38" s="6" t="n">
        <v>0.03285627917320766</v>
      </c>
      <c r="L38" s="6" t="n">
        <v>0.03284802743082982</v>
      </c>
      <c r="M38" s="6" t="n">
        <v>0.1025896552165277</v>
      </c>
      <c r="N38" s="6" t="n">
        <v>0.1062526129538244</v>
      </c>
      <c r="O38" s="6" t="n">
        <v>0.3191292598658884</v>
      </c>
      <c r="P38" s="6" t="n">
        <v>0.09672005332952827</v>
      </c>
    </row>
    <row r="39">
      <c r="A39" s="3" t="n">
        <v>38</v>
      </c>
      <c r="B39" s="7" t="n">
        <v>40</v>
      </c>
      <c r="C39" s="3" t="inlineStr">
        <is>
          <t>GRID</t>
        </is>
      </c>
      <c r="D39" s="3" t="inlineStr">
        <is>
          <t>Smart Grid &amp; Electric Infrastructure</t>
        </is>
      </c>
      <c r="E39" s="3" t="inlineStr">
        <is>
          <t>Utilities</t>
        </is>
      </c>
      <c r="F39" s="5" t="n">
        <v>177.54</v>
      </c>
      <c r="G39" s="6" t="n">
        <v>0.01145100279618427</v>
      </c>
      <c r="H39" s="6" t="n">
        <v>-0.02294872749798949</v>
      </c>
      <c r="I39" s="6" t="n">
        <v>-0.01998239292779236</v>
      </c>
      <c r="J39" s="6" t="n">
        <v>-0.02461273970536837</v>
      </c>
      <c r="K39" s="6" t="n">
        <v>-0.09578854407269466</v>
      </c>
      <c r="L39" s="6" t="n">
        <v>0.05377720615558723</v>
      </c>
      <c r="M39" s="6" t="n">
        <v>0.1718280328817541</v>
      </c>
      <c r="N39" s="6" t="n">
        <v>0.2702761716056028</v>
      </c>
      <c r="O39" s="6" t="n">
        <v>0.8140837406549888</v>
      </c>
      <c r="P39" s="6" t="n">
        <v>0.2196047587941405</v>
      </c>
    </row>
    <row r="40">
      <c r="A40" s="3" t="n">
        <v>39</v>
      </c>
      <c r="B40" s="7" t="n">
        <v>38</v>
      </c>
      <c r="C40" s="3" t="inlineStr">
        <is>
          <t>XTN</t>
        </is>
      </c>
      <c r="D40" s="3" t="inlineStr">
        <is>
          <t>Trucking &amp; Logistics</t>
        </is>
      </c>
      <c r="E40" s="3" t="inlineStr">
        <is>
          <t>Industrials</t>
        </is>
      </c>
      <c r="F40" s="5" t="n">
        <v>104.28</v>
      </c>
      <c r="G40" s="6" t="n">
        <v>0.008705760783420224</v>
      </c>
      <c r="H40" s="6" t="n">
        <v>-0.02551166528768145</v>
      </c>
      <c r="I40" s="6" t="n">
        <v>-0.02213053848329871</v>
      </c>
      <c r="J40" s="6" t="n">
        <v>-0.0587598346640873</v>
      </c>
      <c r="K40" s="6" t="n">
        <v>-0.05840599448471029</v>
      </c>
      <c r="L40" s="6" t="n">
        <v>0.03053176004230651</v>
      </c>
      <c r="M40" s="6" t="n">
        <v>0.1575008589252989</v>
      </c>
      <c r="N40" s="6" t="n">
        <v>0.2313515374700759</v>
      </c>
      <c r="O40" s="6" t="n">
        <v>0.3228214925920887</v>
      </c>
      <c r="P40" s="6" t="n">
        <v>0.0977423371521835</v>
      </c>
    </row>
    <row r="41">
      <c r="A41" s="3" t="n">
        <v>40</v>
      </c>
      <c r="B41" s="7" t="n">
        <v>36</v>
      </c>
      <c r="C41" s="3" t="inlineStr">
        <is>
          <t>PAVE</t>
        </is>
      </c>
      <c r="D41" s="3" t="inlineStr">
        <is>
          <t>Infrastructure Development</t>
        </is>
      </c>
      <c r="E41" s="3" t="inlineStr">
        <is>
          <t>Industrials</t>
        </is>
      </c>
      <c r="F41" s="5" t="n">
        <v>54.69</v>
      </c>
      <c r="G41" s="6" t="n">
        <v>0.007553424035235734</v>
      </c>
      <c r="H41" s="6" t="n">
        <v>-0.0244381504284934</v>
      </c>
      <c r="I41" s="6" t="n">
        <v>-0.02408997620919573</v>
      </c>
      <c r="J41" s="6" t="n">
        <v>-0.04953080019936662</v>
      </c>
      <c r="K41" s="6" t="n">
        <v>-0.04370915305157308</v>
      </c>
      <c r="L41" s="6" t="n">
        <v>0.009692279066308318</v>
      </c>
      <c r="M41" s="6" t="n">
        <v>0.1367545364630502</v>
      </c>
      <c r="N41" s="6" t="n">
        <v>0.2013794953933861</v>
      </c>
      <c r="O41" s="6" t="n">
        <v>0.7128075738572706</v>
      </c>
      <c r="P41" s="6" t="n">
        <v>0.1964728776866276</v>
      </c>
    </row>
    <row r="42">
      <c r="A42" s="3" t="n">
        <v>41</v>
      </c>
      <c r="B42" s="7" t="n">
        <v>35</v>
      </c>
      <c r="C42" s="3" t="inlineStr">
        <is>
          <t>JETS</t>
        </is>
      </c>
      <c r="D42" s="3" t="inlineStr">
        <is>
          <t>Airlines</t>
        </is>
      </c>
      <c r="E42" s="3" t="inlineStr">
        <is>
          <t>Industrials</t>
        </is>
      </c>
      <c r="F42" s="5" t="n">
        <v>28.42</v>
      </c>
      <c r="G42" s="6" t="n">
        <v>0.00317684972927168</v>
      </c>
      <c r="H42" s="6" t="n">
        <v>-0.03168655172362256</v>
      </c>
      <c r="I42" s="6" t="n">
        <v>-0.02870813896162405</v>
      </c>
      <c r="J42" s="6" t="n">
        <v>-0.1300887153612158</v>
      </c>
      <c r="K42" s="6" t="n">
        <v>0.02120014927076297</v>
      </c>
      <c r="L42" s="6" t="n">
        <v>0.03609186146933285</v>
      </c>
      <c r="M42" s="6" t="n">
        <v>0.05651832916795985</v>
      </c>
      <c r="N42" s="6" t="n">
        <v>0.08369055090284006</v>
      </c>
      <c r="O42" s="6" t="n">
        <v>0.4915554935364241</v>
      </c>
      <c r="P42" s="6" t="n">
        <v>0.142562077310209</v>
      </c>
    </row>
    <row r="43">
      <c r="A43" s="3" t="n">
        <v>42</v>
      </c>
      <c r="B43" s="7" t="n">
        <v>33</v>
      </c>
      <c r="C43" s="3" t="inlineStr">
        <is>
          <t>IFRA</t>
        </is>
      </c>
      <c r="D43" s="3" t="inlineStr">
        <is>
          <t>US Infrastructure &amp; Engineering</t>
        </is>
      </c>
      <c r="E43" s="3" t="inlineStr">
        <is>
          <t>Industrials</t>
        </is>
      </c>
      <c r="F43" s="5" t="n">
        <v>58.92</v>
      </c>
      <c r="G43" s="6" t="n">
        <v>0.004946223700271979</v>
      </c>
      <c r="H43" s="6" t="n">
        <v>-0.01553885261296895</v>
      </c>
      <c r="I43" s="6" t="n">
        <v>-0.02191240824605301</v>
      </c>
      <c r="J43" s="6" t="n">
        <v>-0.03536351665613691</v>
      </c>
      <c r="K43" s="6" t="n">
        <v>-0.03440719614491161</v>
      </c>
      <c r="L43" s="6" t="n">
        <v>-0.01072651202072217</v>
      </c>
      <c r="M43" s="6" t="n">
        <v>0.1228109201125143</v>
      </c>
      <c r="N43" s="6" t="n">
        <v>0.1699454579251287</v>
      </c>
      <c r="O43" s="6" t="n">
        <v>0.5870747346582244</v>
      </c>
      <c r="P43" s="6" t="n">
        <v>0.1664491007972912</v>
      </c>
    </row>
    <row r="44">
      <c r="A44" s="3" t="n">
        <v>43</v>
      </c>
      <c r="B44" s="7" t="n">
        <v>32</v>
      </c>
      <c r="C44" s="3" t="inlineStr">
        <is>
          <t>ITA</t>
        </is>
      </c>
      <c r="D44" s="3" t="inlineStr">
        <is>
          <t>Aerospace &amp; Defense</t>
        </is>
      </c>
      <c r="E44" s="3" t="inlineStr">
        <is>
          <t>Industrials</t>
        </is>
      </c>
      <c r="F44" s="5" t="n">
        <v>225.98</v>
      </c>
      <c r="G44" s="6" t="n">
        <v>0.01168465177689715</v>
      </c>
      <c r="H44" s="6" t="n">
        <v>-0.03534533839944765</v>
      </c>
      <c r="I44" s="6" t="n">
        <v>-0.04874558827269937</v>
      </c>
      <c r="J44" s="6" t="n">
        <v>-0.08168077842146315</v>
      </c>
      <c r="K44" s="6" t="n">
        <v>0.005552193867865318</v>
      </c>
      <c r="L44" s="6" t="n">
        <v>-0.07631073274122968</v>
      </c>
      <c r="M44" s="6" t="n">
        <v>0.1223360780748943</v>
      </c>
      <c r="N44" s="6" t="n">
        <v>0.1532927129651023</v>
      </c>
      <c r="O44" s="6" t="n">
        <v>0.9837551173382917</v>
      </c>
      <c r="P44" s="6" t="n">
        <v>0.2565005605998525</v>
      </c>
    </row>
    <row r="45">
      <c r="A45" s="3" t="n">
        <v>44</v>
      </c>
      <c r="B45" s="8" t="n">
        <v>30</v>
      </c>
      <c r="C45" s="3" t="inlineStr">
        <is>
          <t>BIZD</t>
        </is>
      </c>
      <c r="D45" s="3" t="inlineStr">
        <is>
          <t>Business Development Companies (BDCs)</t>
        </is>
      </c>
      <c r="E45" s="3" t="inlineStr">
        <is>
          <t>Financials</t>
        </is>
      </c>
      <c r="F45" s="5" t="n">
        <v>13.35</v>
      </c>
      <c r="G45" s="6" t="n">
        <v>0.0007496423363906324</v>
      </c>
      <c r="H45" s="6" t="n">
        <v>-0.002987301032667533</v>
      </c>
      <c r="I45" s="6" t="n">
        <v>0.004514704273056447</v>
      </c>
      <c r="J45" s="6" t="n">
        <v>0.0478807395063261</v>
      </c>
      <c r="K45" s="6" t="n">
        <v>0.09556167484056877</v>
      </c>
      <c r="L45" s="6" t="n">
        <v>0.09099608243395685</v>
      </c>
      <c r="M45" s="6" t="n">
        <v>-0.01610860183931628</v>
      </c>
      <c r="N45" s="6" t="n">
        <v>-0.06372205811809772</v>
      </c>
      <c r="O45" s="6" t="n">
        <v>0.177073087138198</v>
      </c>
      <c r="P45" s="6" t="n">
        <v>0.0558473720820607</v>
      </c>
    </row>
    <row r="46">
      <c r="A46" s="3" t="n">
        <v>45</v>
      </c>
      <c r="B46" s="8" t="n">
        <v>28</v>
      </c>
      <c r="C46" s="3" t="inlineStr">
        <is>
          <t>FINX</t>
        </is>
      </c>
      <c r="D46" s="3" t="inlineStr">
        <is>
          <t>FinTech &amp; Digital Payments</t>
        </is>
      </c>
      <c r="E46" s="3" t="inlineStr">
        <is>
          <t>Technology</t>
        </is>
      </c>
      <c r="F46" s="5" t="n">
        <v>27.92</v>
      </c>
      <c r="G46" s="6" t="n">
        <v>0.04144903841282188</v>
      </c>
      <c r="H46" s="6" t="n">
        <v>0.001938223838838793</v>
      </c>
      <c r="I46" s="6" t="n">
        <v>0.04117713093968245</v>
      </c>
      <c r="J46" s="6" t="n">
        <v>0.06302363565196267</v>
      </c>
      <c r="K46" s="6" t="n">
        <v>0.1348738503058318</v>
      </c>
      <c r="L46" s="6" t="n">
        <v>0.1321170678125398</v>
      </c>
      <c r="M46" s="6" t="n">
        <v>-0.07899539356105423</v>
      </c>
      <c r="N46" s="6" t="n">
        <v>-0.1536902643414675</v>
      </c>
      <c r="O46" s="6" t="n">
        <v>0.2939975066974352</v>
      </c>
      <c r="P46" s="6" t="n">
        <v>0.08971052737255469</v>
      </c>
    </row>
    <row r="47">
      <c r="A47" s="3" t="n">
        <v>46</v>
      </c>
      <c r="B47" s="8" t="n">
        <v>27</v>
      </c>
      <c r="C47" s="3" t="inlineStr">
        <is>
          <t>XRT</t>
        </is>
      </c>
      <c r="D47" s="3" t="inlineStr">
        <is>
          <t>Retail - Broad / Omnichannel</t>
        </is>
      </c>
      <c r="E47" s="3" t="inlineStr">
        <is>
          <t>Consumer Discretionary</t>
        </is>
      </c>
      <c r="F47" s="5" t="n">
        <v>86.73</v>
      </c>
      <c r="G47" s="6" t="n">
        <v>0.00405193464511</v>
      </c>
      <c r="H47" s="6" t="n">
        <v>0.001616896003744372</v>
      </c>
      <c r="I47" s="6" t="n">
        <v>0</v>
      </c>
      <c r="J47" s="6" t="n">
        <v>-0.05171655122334329</v>
      </c>
      <c r="K47" s="6" t="n">
        <v>0.04254689082282681</v>
      </c>
      <c r="L47" s="6" t="n">
        <v>0.0175371338452881</v>
      </c>
      <c r="M47" s="6" t="n">
        <v>0.0216998565488149</v>
      </c>
      <c r="N47" s="6" t="n">
        <v>0.03134186963797037</v>
      </c>
      <c r="O47" s="6" t="n">
        <v>0.3918210270865699</v>
      </c>
      <c r="P47" s="6" t="n">
        <v>0.116506179567921</v>
      </c>
    </row>
    <row r="48">
      <c r="A48" s="3" t="n">
        <v>47</v>
      </c>
      <c r="B48" s="8" t="n">
        <v>25</v>
      </c>
      <c r="C48" s="3" t="inlineStr">
        <is>
          <t>WOOD</t>
        </is>
      </c>
      <c r="D48" s="3" t="inlineStr">
        <is>
          <t>Timber &amp; Forestry</t>
        </is>
      </c>
      <c r="E48" s="3" t="inlineStr">
        <is>
          <t>Materials</t>
        </is>
      </c>
      <c r="F48" s="5" t="n">
        <v>71.22</v>
      </c>
      <c r="G48" s="6" t="n">
        <v>-0.0002806940435995386</v>
      </c>
      <c r="H48" s="6" t="n">
        <v>-0.01684154030350749</v>
      </c>
      <c r="I48" s="6" t="n">
        <v>-0.003497971116972365</v>
      </c>
      <c r="J48" s="6" t="n">
        <v>-0.0204923378150299</v>
      </c>
      <c r="K48" s="6" t="n">
        <v>0.07289768349353531</v>
      </c>
      <c r="L48" s="6" t="n">
        <v>-0.03936722813143589</v>
      </c>
      <c r="M48" s="6" t="n">
        <v>0.03824973365159079</v>
      </c>
      <c r="N48" s="6" t="n">
        <v>-0.02214449150025655</v>
      </c>
      <c r="O48" s="6" t="n">
        <v>0.004444976229975861</v>
      </c>
      <c r="P48" s="6" t="n">
        <v>0.001479468835854814</v>
      </c>
    </row>
    <row r="49">
      <c r="A49" s="3" t="n">
        <v>48</v>
      </c>
      <c r="B49" s="8" t="n">
        <v>23</v>
      </c>
      <c r="C49" s="3" t="inlineStr">
        <is>
          <t>AWAY</t>
        </is>
      </c>
      <c r="D49" s="3" t="inlineStr">
        <is>
          <t>Travel Tech &amp; Bookings</t>
        </is>
      </c>
      <c r="E49" s="3" t="inlineStr">
        <is>
          <t>Consumer Discretionary</t>
        </is>
      </c>
      <c r="F49" s="5" t="n">
        <v>18.99</v>
      </c>
      <c r="G49" s="6" t="n">
        <v>-0.01119500929143458</v>
      </c>
      <c r="H49" s="6" t="n">
        <v>-0.04773842599832367</v>
      </c>
      <c r="I49" s="6" t="n">
        <v>-0.05286780579936745</v>
      </c>
      <c r="J49" s="6" t="n">
        <v>-0.04764296577208449</v>
      </c>
      <c r="K49" s="6" t="n">
        <v>0.09642032942950896</v>
      </c>
      <c r="L49" s="6" t="n">
        <v>0.1453558418879299</v>
      </c>
      <c r="M49" s="6" t="n">
        <v>-0.09312324322857091</v>
      </c>
      <c r="N49" s="6" t="n">
        <v>-0.1274982630989679</v>
      </c>
      <c r="O49" s="6" t="n">
        <v>0.05297341282133794</v>
      </c>
      <c r="P49" s="6" t="n">
        <v>0.01735487036831773</v>
      </c>
    </row>
    <row r="50">
      <c r="A50" s="3" t="n">
        <v>49</v>
      </c>
      <c r="B50" s="8" t="n">
        <v>22</v>
      </c>
      <c r="C50" s="3" t="inlineStr">
        <is>
          <t>PBJ</t>
        </is>
      </c>
      <c r="D50" s="3" t="inlineStr">
        <is>
          <t>Food &amp; Beverage Manufacturers</t>
        </is>
      </c>
      <c r="E50" s="3" t="inlineStr">
        <is>
          <t>Consumer Staples</t>
        </is>
      </c>
      <c r="F50" s="5" t="n">
        <v>48.12</v>
      </c>
      <c r="G50" s="6" t="n">
        <v>-0.007425755234133691</v>
      </c>
      <c r="H50" s="6" t="n">
        <v>0.006273509807090516</v>
      </c>
      <c r="I50" s="6" t="n">
        <v>-0.00578517737947648</v>
      </c>
      <c r="J50" s="6" t="n">
        <v>0.01412008763271944</v>
      </c>
      <c r="K50" s="6" t="n">
        <v>0.01585227585243842</v>
      </c>
      <c r="L50" s="6" t="n">
        <v>-0.02221136855708539</v>
      </c>
      <c r="M50" s="6" t="n">
        <v>0.07475726012906092</v>
      </c>
      <c r="N50" s="6" t="n">
        <v>0.02866527530995855</v>
      </c>
      <c r="O50" s="6" t="n">
        <v>0.1398749373105197</v>
      </c>
      <c r="P50" s="6" t="n">
        <v>0.04460572484664738</v>
      </c>
    </row>
    <row r="51">
      <c r="A51" s="3" t="n">
        <v>50</v>
      </c>
      <c r="B51" s="8" t="n">
        <v>20</v>
      </c>
      <c r="C51" s="3" t="inlineStr">
        <is>
          <t>XAR</t>
        </is>
      </c>
      <c r="D51" s="3" t="inlineStr">
        <is>
          <t>Aerospace &amp; Defense (Equal Weight)</t>
        </is>
      </c>
      <c r="E51" s="3" t="inlineStr">
        <is>
          <t>Industrials</t>
        </is>
      </c>
      <c r="F51" s="5" t="n">
        <v>253.93</v>
      </c>
      <c r="G51" s="6" t="n">
        <v>0.0148674547863632</v>
      </c>
      <c r="H51" s="6" t="n">
        <v>-0.0455553304765377</v>
      </c>
      <c r="I51" s="6" t="n">
        <v>-0.06567814476300371</v>
      </c>
      <c r="J51" s="6" t="n">
        <v>-0.07199507311147468</v>
      </c>
      <c r="K51" s="6" t="n">
        <v>-0.07121558809941042</v>
      </c>
      <c r="L51" s="6" t="n">
        <v>-0.1063680253149141</v>
      </c>
      <c r="M51" s="6" t="n">
        <v>0.115429451125969</v>
      </c>
      <c r="N51" s="6" t="n">
        <v>0.1846219412614858</v>
      </c>
      <c r="O51" s="6" t="n">
        <v>1.107682766915945</v>
      </c>
      <c r="P51" s="6" t="n">
        <v>0.2821389138413939</v>
      </c>
    </row>
    <row r="52">
      <c r="A52" s="3" t="n">
        <v>51</v>
      </c>
      <c r="B52" s="8" t="n">
        <v>19</v>
      </c>
      <c r="C52" s="3" t="inlineStr">
        <is>
          <t>XLC</t>
        </is>
      </c>
      <c r="D52" s="3" t="inlineStr">
        <is>
          <t>Media &amp; Interactive Media</t>
        </is>
      </c>
      <c r="E52" s="3" t="inlineStr">
        <is>
          <t>Communication</t>
        </is>
      </c>
      <c r="F52" s="5" t="n">
        <v>113.38</v>
      </c>
      <c r="G52" s="6" t="n">
        <v>0.008539397794954384</v>
      </c>
      <c r="H52" s="6" t="n">
        <v>0.01768237614714829</v>
      </c>
      <c r="I52" s="6" t="n">
        <v>0.02439462360677203</v>
      </c>
      <c r="J52" s="6" t="n">
        <v>0.01832226497777523</v>
      </c>
      <c r="K52" s="6" t="n">
        <v>0.01423053962854359</v>
      </c>
      <c r="L52" s="6" t="n">
        <v>-0.0332509979130996</v>
      </c>
      <c r="M52" s="6" t="n">
        <v>-0.006280762970138576</v>
      </c>
      <c r="N52" s="6" t="n">
        <v>0.01544221513067323</v>
      </c>
      <c r="O52" s="6" t="n">
        <v>0.7477910546061839</v>
      </c>
      <c r="P52" s="6" t="n">
        <v>0.20456388311119</v>
      </c>
    </row>
    <row r="53">
      <c r="A53" s="3" t="n">
        <v>52</v>
      </c>
      <c r="B53" s="8" t="n">
        <v>17</v>
      </c>
      <c r="C53" s="3" t="inlineStr">
        <is>
          <t>VNQI</t>
        </is>
      </c>
      <c r="D53" s="3" t="inlineStr">
        <is>
          <t>International Real Estate</t>
        </is>
      </c>
      <c r="E53" s="3" t="inlineStr">
        <is>
          <t>Real Estate</t>
        </is>
      </c>
      <c r="F53" s="5" t="n">
        <v>45.19</v>
      </c>
      <c r="G53" s="6" t="n">
        <v>0.0109619207026006</v>
      </c>
      <c r="H53" s="6" t="n">
        <v>-0.007467607329313064</v>
      </c>
      <c r="I53" s="6" t="n">
        <v>-0.01094331396428883</v>
      </c>
      <c r="J53" s="6" t="n">
        <v>-0.01546847223457315</v>
      </c>
      <c r="K53" s="6" t="n">
        <v>0.01186741560921845</v>
      </c>
      <c r="L53" s="6" t="n">
        <v>-0.06516345709424398</v>
      </c>
      <c r="M53" s="6" t="n">
        <v>-0.004663583433486274</v>
      </c>
      <c r="N53" s="6" t="n">
        <v>0.01824484490579614</v>
      </c>
      <c r="O53" s="6" t="n">
        <v>0.2759646758287027</v>
      </c>
      <c r="P53" s="6" t="n">
        <v>0.08462485018619192</v>
      </c>
    </row>
    <row r="54">
      <c r="A54" s="3" t="n">
        <v>53</v>
      </c>
      <c r="B54" s="8" t="n">
        <v>15</v>
      </c>
      <c r="C54" s="3" t="inlineStr">
        <is>
          <t>XLU</t>
        </is>
      </c>
      <c r="D54" s="3" t="inlineStr">
        <is>
          <t>Electric &amp; Gas Utilities</t>
        </is>
      </c>
      <c r="E54" s="3" t="inlineStr">
        <is>
          <t>Utilities</t>
        </is>
      </c>
      <c r="F54" s="5" t="n">
        <v>43.03</v>
      </c>
      <c r="G54" s="6" t="n">
        <v>0.008436855537846455</v>
      </c>
      <c r="H54" s="6" t="n">
        <v>-0.003473865790152075</v>
      </c>
      <c r="I54" s="6" t="n">
        <v>-0.01690659517312254</v>
      </c>
      <c r="J54" s="6" t="n">
        <v>-0.02998200659952932</v>
      </c>
      <c r="K54" s="6" t="n">
        <v>-0.009270912206644</v>
      </c>
      <c r="L54" s="6" t="n">
        <v>-0.07356011177014676</v>
      </c>
      <c r="M54" s="6" t="n">
        <v>0.003064578275240759</v>
      </c>
      <c r="N54" s="6" t="n">
        <v>0.05522987760049025</v>
      </c>
      <c r="O54" s="6" t="n">
        <v>0.5035767420492943</v>
      </c>
      <c r="P54" s="6" t="n">
        <v>0.1456233753429523</v>
      </c>
    </row>
    <row r="55">
      <c r="A55" s="3" t="n">
        <v>54</v>
      </c>
      <c r="B55" s="8" t="n">
        <v>14</v>
      </c>
      <c r="C55" s="3" t="inlineStr">
        <is>
          <t>BETZ</t>
        </is>
      </c>
      <c r="D55" s="3" t="inlineStr">
        <is>
          <t>Casinos, Gaming &amp; Sports Betting</t>
        </is>
      </c>
      <c r="E55" s="3" t="inlineStr">
        <is>
          <t>Consumer Discretionary</t>
        </is>
      </c>
      <c r="F55" s="5" t="n">
        <v>19.48</v>
      </c>
      <c r="G55" s="6" t="n">
        <v>0.01632758080835162</v>
      </c>
      <c r="H55" s="6" t="n">
        <v>-0.003172180834800975</v>
      </c>
      <c r="I55" s="6" t="n">
        <v>-0.0003078925907008534</v>
      </c>
      <c r="J55" s="6" t="n">
        <v>0.02434276197312513</v>
      </c>
      <c r="K55" s="6" t="n">
        <v>0.03621953803857969</v>
      </c>
      <c r="L55" s="6" t="n">
        <v>0.07611158764101256</v>
      </c>
      <c r="M55" s="6" t="n">
        <v>-0.05610267461984508</v>
      </c>
      <c r="N55" s="6" t="n">
        <v>-0.17593231266981</v>
      </c>
      <c r="O55" s="6" t="n">
        <v>0.1725455205392559</v>
      </c>
      <c r="P55" s="6" t="n">
        <v>0.0544918737949911</v>
      </c>
    </row>
    <row r="56">
      <c r="A56" s="3" t="n">
        <v>55</v>
      </c>
      <c r="B56" s="8" t="n">
        <v>12</v>
      </c>
      <c r="C56" s="3" t="inlineStr">
        <is>
          <t>IHI</t>
        </is>
      </c>
      <c r="D56" s="3" t="inlineStr">
        <is>
          <t>Medical Devices &amp; Equipment</t>
        </is>
      </c>
      <c r="E56" s="3" t="inlineStr">
        <is>
          <t>Health Care</t>
        </is>
      </c>
      <c r="F56" s="5" t="n">
        <v>53.91</v>
      </c>
      <c r="G56" s="6" t="n">
        <v>-0.009371524048015001</v>
      </c>
      <c r="H56" s="6" t="n">
        <v>-0.01299888499371959</v>
      </c>
      <c r="I56" s="6" t="n">
        <v>-0.02777278438842901</v>
      </c>
      <c r="J56" s="6" t="n">
        <v>-0.005534020330697165</v>
      </c>
      <c r="K56" s="6" t="n">
        <v>0.1125392221678678</v>
      </c>
      <c r="L56" s="6" t="n">
        <v>-0.08418084822211425</v>
      </c>
      <c r="M56" s="6" t="n">
        <v>-0.1444528882786297</v>
      </c>
      <c r="N56" s="6" t="n">
        <v>-0.1164747197631892</v>
      </c>
      <c r="O56" s="6" t="n">
        <v>0.0401647666780629</v>
      </c>
      <c r="P56" s="6" t="n">
        <v>0.01321290577347423</v>
      </c>
    </row>
    <row r="57">
      <c r="A57" s="3" t="n">
        <v>56</v>
      </c>
      <c r="B57" s="8" t="n">
        <v>11</v>
      </c>
      <c r="C57" s="3" t="inlineStr">
        <is>
          <t>URA</t>
        </is>
      </c>
      <c r="D57" s="3" t="inlineStr">
        <is>
          <t>Uranium &amp; Nuclear Energy</t>
        </is>
      </c>
      <c r="E57" s="3" t="inlineStr">
        <is>
          <t>Energy</t>
        </is>
      </c>
      <c r="F57" s="5" t="n">
        <v>45.7</v>
      </c>
      <c r="G57" s="6" t="n">
        <v>0.03113720842999901</v>
      </c>
      <c r="H57" s="6" t="n">
        <v>-0.05519946718843716</v>
      </c>
      <c r="I57" s="6" t="n">
        <v>0.04242702107385288</v>
      </c>
      <c r="J57" s="6" t="n">
        <v>0.119823553665666</v>
      </c>
      <c r="K57" s="6" t="n">
        <v>-0.09307399649765513</v>
      </c>
      <c r="L57" s="6" t="n">
        <v>-0.1211538314819336</v>
      </c>
      <c r="M57" s="6" t="n">
        <v>0.02706077971868948</v>
      </c>
      <c r="N57" s="6" t="n">
        <v>0.1582383263797029</v>
      </c>
      <c r="O57" s="6" t="n">
        <v>1.147309231750509</v>
      </c>
      <c r="P57" s="6" t="n">
        <v>0.2901242257129268</v>
      </c>
    </row>
    <row r="58">
      <c r="A58" s="3" t="n">
        <v>57</v>
      </c>
      <c r="B58" s="8" t="n">
        <v>9</v>
      </c>
      <c r="C58" s="3" t="inlineStr">
        <is>
          <t>ICLN</t>
        </is>
      </c>
      <c r="D58" s="3" t="inlineStr">
        <is>
          <t>Clean &amp; Renewable Energy</t>
        </is>
      </c>
      <c r="E58" s="3" t="inlineStr">
        <is>
          <t>Energy</t>
        </is>
      </c>
      <c r="F58" s="5" t="n">
        <v>17.63</v>
      </c>
      <c r="G58" s="6" t="n">
        <v>0.01496823885845466</v>
      </c>
      <c r="H58" s="6" t="n">
        <v>-0.01121709275351934</v>
      </c>
      <c r="I58" s="6" t="n">
        <v>0</v>
      </c>
      <c r="J58" s="6" t="n">
        <v>-0.02001115146924692</v>
      </c>
      <c r="K58" s="6" t="n">
        <v>-0.2344167200553614</v>
      </c>
      <c r="L58" s="6" t="n">
        <v>-0.002408608955747127</v>
      </c>
      <c r="M58" s="6" t="n">
        <v>0.07060416207464137</v>
      </c>
      <c r="N58" s="6" t="n">
        <v>0.2545671180799656</v>
      </c>
      <c r="O58" s="6" t="n">
        <v>0.1477961925966675</v>
      </c>
      <c r="P58" s="6" t="n">
        <v>0.04701987709632438</v>
      </c>
    </row>
    <row r="59">
      <c r="A59" s="3" t="n">
        <v>58</v>
      </c>
      <c r="B59" s="8" t="n">
        <v>7</v>
      </c>
      <c r="C59" s="3" t="inlineStr">
        <is>
          <t>BOTZ</t>
        </is>
      </c>
      <c r="D59" s="3" t="inlineStr">
        <is>
          <t>Robotics &amp; Artificial Intelligence</t>
        </is>
      </c>
      <c r="E59" s="3" t="inlineStr">
        <is>
          <t>Technology</t>
        </is>
      </c>
      <c r="F59" s="5" t="n">
        <v>35.81</v>
      </c>
      <c r="G59" s="6" t="n">
        <v>0.01761872039720558</v>
      </c>
      <c r="H59" s="6" t="n">
        <v>-0.009131101879651493</v>
      </c>
      <c r="I59" s="6" t="n">
        <v>0</v>
      </c>
      <c r="J59" s="6" t="n">
        <v>-0.0033397976862104</v>
      </c>
      <c r="K59" s="6" t="n">
        <v>-0.1103076579844193</v>
      </c>
      <c r="L59" s="6" t="n">
        <v>-0.0290539815824512</v>
      </c>
      <c r="M59" s="6" t="n">
        <v>0.0133092561063004</v>
      </c>
      <c r="N59" s="6" t="n">
        <v>0.08479379403150489</v>
      </c>
      <c r="O59" s="6" t="n">
        <v>0.3515284925735507</v>
      </c>
      <c r="P59" s="6" t="n">
        <v>0.1056264044769886</v>
      </c>
    </row>
    <row r="60">
      <c r="A60" s="3" t="n">
        <v>59</v>
      </c>
      <c r="B60" s="8" t="n">
        <v>6</v>
      </c>
      <c r="C60" s="3" t="inlineStr">
        <is>
          <t>XHB</t>
        </is>
      </c>
      <c r="D60" s="3" t="inlineStr">
        <is>
          <t>Homebuilders &amp; Residential Construction</t>
        </is>
      </c>
      <c r="E60" s="3" t="inlineStr">
        <is>
          <t>Consumer Discretionary</t>
        </is>
      </c>
      <c r="F60" s="5" t="n">
        <v>102.27</v>
      </c>
      <c r="G60" s="6" t="n">
        <v>0.01087277349045901</v>
      </c>
      <c r="H60" s="6" t="n">
        <v>-0.02152698117359975</v>
      </c>
      <c r="I60" s="6" t="n">
        <v>-0.03171753471313021</v>
      </c>
      <c r="J60" s="6" t="n">
        <v>-0.03845434320998953</v>
      </c>
      <c r="K60" s="6" t="n">
        <v>-0.01417295258838625</v>
      </c>
      <c r="L60" s="6" t="n">
        <v>-0.07826234585770897</v>
      </c>
      <c r="M60" s="6" t="n">
        <v>-0.06100960325061766</v>
      </c>
      <c r="N60" s="6" t="n">
        <v>-0.09304697900482028</v>
      </c>
      <c r="O60" s="6" t="n">
        <v>0.2414092169130997</v>
      </c>
      <c r="P60" s="6" t="n">
        <v>0.07474389916272184</v>
      </c>
    </row>
    <row r="61">
      <c r="A61" s="3" t="n">
        <v>60</v>
      </c>
      <c r="B61" s="8" t="n">
        <v>4</v>
      </c>
      <c r="C61" s="3" t="inlineStr">
        <is>
          <t>ITB</t>
        </is>
      </c>
      <c r="D61" s="3" t="inlineStr">
        <is>
          <t>Home Construction</t>
        </is>
      </c>
      <c r="E61" s="3" t="inlineStr">
        <is>
          <t>Consumer Discretionary</t>
        </is>
      </c>
      <c r="F61" s="5" t="n">
        <v>93.62</v>
      </c>
      <c r="G61" s="6" t="n">
        <v>0.008618865054816682</v>
      </c>
      <c r="H61" s="6" t="n">
        <v>-0.02101845199795926</v>
      </c>
      <c r="I61" s="6" t="n">
        <v>-0.03225134573169119</v>
      </c>
      <c r="J61" s="6" t="n">
        <v>-0.03494484398513753</v>
      </c>
      <c r="K61" s="6" t="n">
        <v>0.01420930681949861</v>
      </c>
      <c r="L61" s="6" t="n">
        <v>-0.09390332565340553</v>
      </c>
      <c r="M61" s="6" t="n">
        <v>-0.1087263600373448</v>
      </c>
      <c r="N61" s="6" t="n">
        <v>-0.1500031967628672</v>
      </c>
      <c r="O61" s="6" t="n">
        <v>0.1000414253735029</v>
      </c>
      <c r="P61" s="6" t="n">
        <v>0.03229307365410916</v>
      </c>
    </row>
    <row r="62">
      <c r="A62" s="3" t="n">
        <v>61</v>
      </c>
      <c r="B62" s="8" t="n">
        <v>3</v>
      </c>
      <c r="C62" s="3" t="inlineStr">
        <is>
          <t>TAN</t>
        </is>
      </c>
      <c r="D62" s="3" t="inlineStr">
        <is>
          <t>Solar Energy</t>
        </is>
      </c>
      <c r="E62" s="3" t="inlineStr">
        <is>
          <t>Energy</t>
        </is>
      </c>
      <c r="F62" s="5" t="n">
        <v>47.72</v>
      </c>
      <c r="G62" s="6" t="n">
        <v>0.009519796035152073</v>
      </c>
      <c r="H62" s="6" t="n">
        <v>-0.04061118595896951</v>
      </c>
      <c r="I62" s="6" t="n">
        <v>-0.0404182252168751</v>
      </c>
      <c r="J62" s="6" t="n">
        <v>-0.06869633767484684</v>
      </c>
      <c r="K62" s="6" t="n">
        <v>-0.3210982984898271</v>
      </c>
      <c r="L62" s="6" t="n">
        <v>-0.1239214218602668</v>
      </c>
      <c r="M62" s="6" t="n">
        <v>0.007176026697405469</v>
      </c>
      <c r="N62" s="6" t="n">
        <v>0.1479432660819728</v>
      </c>
      <c r="O62" s="6" t="n">
        <v>-0.1782157586395819</v>
      </c>
      <c r="P62" s="6" t="n">
        <v>-0.06333145453714173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cols>
    <col width="50" customWidth="1" min="1" max="1"/>
    <col width="17" customWidth="1" min="2" max="2"/>
    <col width="39" customWidth="1" min="3" max="3"/>
    <col width="17" customWidth="1" min="4" max="4"/>
    <col width="24" customWidth="1" min="5" max="5"/>
    <col width="11" customWidth="1" min="6" max="6"/>
    <col width="18" customWidth="1" min="7" max="7"/>
    <col width="20" customWidth="1" min="8" max="8"/>
    <col width="41" customWidth="1" min="9" max="9"/>
    <col width="24" customWidth="1" min="10" max="10"/>
    <col width="27" customWidth="1" min="11" max="11"/>
  </cols>
  <sheetData>
    <row r="1">
      <c r="A1" s="9">
        <f>== IBD RELATIVE STRENGTH LEADERS &amp; LAGGARDS ===</f>
        <v/>
      </c>
    </row>
    <row r="2">
      <c r="A2" s="10" t="inlineStr">
        <is>
          <t>Top 10 - Rank</t>
        </is>
      </c>
      <c r="B2" s="10" t="inlineStr">
        <is>
          <t>Top 10 - Ticker</t>
        </is>
      </c>
      <c r="C2" s="10" t="inlineStr">
        <is>
          <t>Top 10 - Subgroup Name</t>
        </is>
      </c>
      <c r="D2" s="10" t="inlineStr">
        <is>
          <t>Top 10 - Sector</t>
        </is>
      </c>
      <c r="E2" s="10" t="inlineStr">
        <is>
          <t>Top 10 - IBD_RS_Rating</t>
        </is>
      </c>
      <c r="F2" t="inlineStr"/>
      <c r="G2" s="10" t="inlineStr">
        <is>
          <t>Bottom 10 - Rank</t>
        </is>
      </c>
      <c r="H2" s="10" t="inlineStr">
        <is>
          <t>Bottom 10 - Ticker</t>
        </is>
      </c>
      <c r="I2" s="10" t="inlineStr">
        <is>
          <t>Bottom 10 - Subgroup Name</t>
        </is>
      </c>
      <c r="J2" s="10" t="inlineStr">
        <is>
          <t>Bottom 10 - Sector</t>
        </is>
      </c>
      <c r="K2" s="10" t="inlineStr">
        <is>
          <t>Bottom 10 - IBD_RS_Rating</t>
        </is>
      </c>
    </row>
    <row r="3">
      <c r="A3" t="n">
        <v>1</v>
      </c>
      <c r="B3" t="inlineStr">
        <is>
          <t>BDRY</t>
        </is>
      </c>
      <c r="C3" t="inlineStr">
        <is>
          <t>Dry Bulk Shipping &amp; Maritime Freight</t>
        </is>
      </c>
      <c r="D3" t="inlineStr">
        <is>
          <t>Industrials</t>
        </is>
      </c>
      <c r="E3" t="n">
        <v>99</v>
      </c>
      <c r="F3" t="inlineStr"/>
      <c r="G3" t="n">
        <v>52</v>
      </c>
      <c r="H3" t="inlineStr">
        <is>
          <t>TAN</t>
        </is>
      </c>
      <c r="I3" t="inlineStr">
        <is>
          <t>Solar Energy</t>
        </is>
      </c>
      <c r="J3" t="inlineStr">
        <is>
          <t>Energy</t>
        </is>
      </c>
      <c r="K3" t="n">
        <v>3</v>
      </c>
    </row>
    <row r="4">
      <c r="A4" t="n">
        <v>2</v>
      </c>
      <c r="B4" t="inlineStr">
        <is>
          <t>IDNA</t>
        </is>
      </c>
      <c r="C4" t="inlineStr">
        <is>
          <t>Genomics &amp; Immunology</t>
        </is>
      </c>
      <c r="D4" t="inlineStr">
        <is>
          <t>Health Care</t>
        </is>
      </c>
      <c r="E4" t="n">
        <v>97</v>
      </c>
      <c r="F4" t="inlineStr"/>
      <c r="G4" t="n">
        <v>53</v>
      </c>
      <c r="H4" t="inlineStr">
        <is>
          <t>ITB</t>
        </is>
      </c>
      <c r="I4" t="inlineStr">
        <is>
          <t>Home Construction</t>
        </is>
      </c>
      <c r="J4" t="inlineStr">
        <is>
          <t>Consumer Discretionary</t>
        </is>
      </c>
      <c r="K4" t="n">
        <v>4</v>
      </c>
    </row>
    <row r="5">
      <c r="A5" t="n">
        <v>3</v>
      </c>
      <c r="B5" t="inlineStr">
        <is>
          <t>XBI</t>
        </is>
      </c>
      <c r="C5" t="inlineStr">
        <is>
          <t>Biotechnology (Equal Weight)</t>
        </is>
      </c>
      <c r="D5" t="inlineStr">
        <is>
          <t>Health Care</t>
        </is>
      </c>
      <c r="E5" t="n">
        <v>96</v>
      </c>
      <c r="F5" t="inlineStr"/>
      <c r="G5" t="n">
        <v>54</v>
      </c>
      <c r="H5" t="inlineStr">
        <is>
          <t>XHB</t>
        </is>
      </c>
      <c r="I5" t="inlineStr">
        <is>
          <t>Homebuilders &amp; Residential Construction</t>
        </is>
      </c>
      <c r="J5" t="inlineStr">
        <is>
          <t>Consumer Discretionary</t>
        </is>
      </c>
      <c r="K5" t="n">
        <v>6</v>
      </c>
    </row>
    <row r="6">
      <c r="A6" t="n">
        <v>4</v>
      </c>
      <c r="B6" t="inlineStr">
        <is>
          <t>XPH</t>
        </is>
      </c>
      <c r="C6" t="inlineStr">
        <is>
          <t>Pharmaceuticals</t>
        </is>
      </c>
      <c r="D6" t="inlineStr">
        <is>
          <t>Health Care</t>
        </is>
      </c>
      <c r="E6" t="n">
        <v>94</v>
      </c>
      <c r="F6" t="inlineStr"/>
      <c r="G6" t="n">
        <v>55</v>
      </c>
      <c r="H6" t="inlineStr">
        <is>
          <t>BOTZ</t>
        </is>
      </c>
      <c r="I6" t="inlineStr">
        <is>
          <t>Robotics &amp; Artificial Intelligence</t>
        </is>
      </c>
      <c r="J6" t="inlineStr">
        <is>
          <t>Technology</t>
        </is>
      </c>
      <c r="K6" t="n">
        <v>7</v>
      </c>
    </row>
    <row r="7">
      <c r="A7" t="n">
        <v>5</v>
      </c>
      <c r="B7" t="inlineStr">
        <is>
          <t>SMH</t>
        </is>
      </c>
      <c r="C7" t="inlineStr">
        <is>
          <t>Semiconductor Manufacturers</t>
        </is>
      </c>
      <c r="D7" t="inlineStr">
        <is>
          <t>Technology</t>
        </is>
      </c>
      <c r="E7" t="n">
        <v>93</v>
      </c>
      <c r="F7" t="inlineStr"/>
      <c r="G7" t="n">
        <v>56</v>
      </c>
      <c r="H7" t="inlineStr">
        <is>
          <t>ICLN</t>
        </is>
      </c>
      <c r="I7" t="inlineStr">
        <is>
          <t>Clean &amp; Renewable Energy</t>
        </is>
      </c>
      <c r="J7" t="inlineStr">
        <is>
          <t>Energy</t>
        </is>
      </c>
      <c r="K7" t="n">
        <v>9</v>
      </c>
    </row>
    <row r="8">
      <c r="A8" t="n">
        <v>6</v>
      </c>
      <c r="B8" t="inlineStr">
        <is>
          <t>IBB</t>
        </is>
      </c>
      <c r="C8" t="inlineStr">
        <is>
          <t>Biotechnology (Market Weight)</t>
        </is>
      </c>
      <c r="D8" t="inlineStr">
        <is>
          <t>Health Care</t>
        </is>
      </c>
      <c r="E8" t="n">
        <v>91</v>
      </c>
      <c r="F8" t="inlineStr"/>
      <c r="G8" t="n">
        <v>57</v>
      </c>
      <c r="H8" t="inlineStr">
        <is>
          <t>URA</t>
        </is>
      </c>
      <c r="I8" t="inlineStr">
        <is>
          <t>Uranium &amp; Nuclear Energy</t>
        </is>
      </c>
      <c r="J8" t="inlineStr">
        <is>
          <t>Energy</t>
        </is>
      </c>
      <c r="K8" t="n">
        <v>11</v>
      </c>
    </row>
    <row r="9">
      <c r="A9" t="n">
        <v>7</v>
      </c>
      <c r="B9" t="inlineStr">
        <is>
          <t>XOP</t>
        </is>
      </c>
      <c r="C9" t="inlineStr">
        <is>
          <t>Oil &amp; Gas Exploration &amp; Production</t>
        </is>
      </c>
      <c r="D9" t="inlineStr">
        <is>
          <t>Energy</t>
        </is>
      </c>
      <c r="E9" t="n">
        <v>89</v>
      </c>
      <c r="F9" t="inlineStr"/>
      <c r="G9" t="n">
        <v>58</v>
      </c>
      <c r="H9" t="inlineStr">
        <is>
          <t>IHI</t>
        </is>
      </c>
      <c r="I9" t="inlineStr">
        <is>
          <t>Medical Devices &amp; Equipment</t>
        </is>
      </c>
      <c r="J9" t="inlineStr">
        <is>
          <t>Health Care</t>
        </is>
      </c>
      <c r="K9" t="n">
        <v>12</v>
      </c>
    </row>
    <row r="10">
      <c r="A10" t="n">
        <v>8</v>
      </c>
      <c r="B10" t="inlineStr">
        <is>
          <t>HACK</t>
        </is>
      </c>
      <c r="C10" t="inlineStr">
        <is>
          <t>Cybersecurity</t>
        </is>
      </c>
      <c r="D10" t="inlineStr">
        <is>
          <t>Technology</t>
        </is>
      </c>
      <c r="E10" t="n">
        <v>88</v>
      </c>
      <c r="F10" t="inlineStr"/>
      <c r="G10" t="n">
        <v>59</v>
      </c>
      <c r="H10" t="inlineStr">
        <is>
          <t>BETZ</t>
        </is>
      </c>
      <c r="I10" t="inlineStr">
        <is>
          <t>Casinos, Gaming &amp; Sports Betting</t>
        </is>
      </c>
      <c r="J10" t="inlineStr">
        <is>
          <t>Consumer Discretionary</t>
        </is>
      </c>
      <c r="K10" t="n">
        <v>14</v>
      </c>
    </row>
    <row r="11">
      <c r="A11" t="n">
        <v>9</v>
      </c>
      <c r="B11" t="inlineStr">
        <is>
          <t>COPX</t>
        </is>
      </c>
      <c r="C11" t="inlineStr">
        <is>
          <t>Copper Miners</t>
        </is>
      </c>
      <c r="D11" t="inlineStr">
        <is>
          <t>Materials</t>
        </is>
      </c>
      <c r="E11" t="n">
        <v>86</v>
      </c>
      <c r="F11" t="inlineStr"/>
      <c r="G11" t="n">
        <v>60</v>
      </c>
      <c r="H11" t="inlineStr">
        <is>
          <t>XLU</t>
        </is>
      </c>
      <c r="I11" t="inlineStr">
        <is>
          <t>Electric &amp; Gas Utilities</t>
        </is>
      </c>
      <c r="J11" t="inlineStr">
        <is>
          <t>Utilities</t>
        </is>
      </c>
      <c r="K11" t="n">
        <v>15</v>
      </c>
    </row>
    <row r="12">
      <c r="A12" t="n">
        <v>10</v>
      </c>
      <c r="B12" t="inlineStr">
        <is>
          <t>SIL</t>
        </is>
      </c>
      <c r="C12" t="inlineStr">
        <is>
          <t>Silver Miners</t>
        </is>
      </c>
      <c r="D12" t="inlineStr">
        <is>
          <t>Materials</t>
        </is>
      </c>
      <c r="E12" t="n">
        <v>85</v>
      </c>
      <c r="F12" t="inlineStr"/>
      <c r="G12" t="n">
        <v>61</v>
      </c>
      <c r="H12" t="inlineStr">
        <is>
          <t>VNQI</t>
        </is>
      </c>
      <c r="I12" t="inlineStr">
        <is>
          <t>International Real Estate</t>
        </is>
      </c>
      <c r="J12" t="inlineStr">
        <is>
          <t>Real Estate</t>
        </is>
      </c>
      <c r="K12" t="n">
        <v>17</v>
      </c>
    </row>
    <row r="13"/>
    <row r="14"/>
    <row r="15">
      <c r="A15" s="9">
        <f>== PAST 1 MONTH LEADERS &amp; LAGGARDS ===</f>
        <v/>
      </c>
    </row>
    <row r="16">
      <c r="A16" s="10" t="inlineStr">
        <is>
          <t>Top 10 - Rank</t>
        </is>
      </c>
      <c r="B16" s="10" t="inlineStr">
        <is>
          <t>Top 10 - Ticker</t>
        </is>
      </c>
      <c r="C16" s="10" t="inlineStr">
        <is>
          <t>Top 10 - Subgroup Name</t>
        </is>
      </c>
      <c r="D16" s="10" t="inlineStr">
        <is>
          <t>Top 10 - Sector</t>
        </is>
      </c>
      <c r="E16" s="10" t="inlineStr">
        <is>
          <t>Top 10 - 1M</t>
        </is>
      </c>
      <c r="F16" t="inlineStr"/>
      <c r="G16" s="10" t="inlineStr">
        <is>
          <t>Bottom 10 - Rank</t>
        </is>
      </c>
      <c r="H16" s="10" t="inlineStr">
        <is>
          <t>Bottom 10 - Ticker</t>
        </is>
      </c>
      <c r="I16" s="10" t="inlineStr">
        <is>
          <t>Bottom 10 - Subgroup Name</t>
        </is>
      </c>
      <c r="J16" s="10" t="inlineStr">
        <is>
          <t>Bottom 10 - Sector</t>
        </is>
      </c>
      <c r="K16" s="10" t="inlineStr">
        <is>
          <t>Bottom 10 - 1M</t>
        </is>
      </c>
    </row>
    <row r="17">
      <c r="A17" t="n">
        <v>1</v>
      </c>
      <c r="B17" t="inlineStr">
        <is>
          <t>SIL</t>
        </is>
      </c>
      <c r="C17" t="inlineStr">
        <is>
          <t>Silver Miners</t>
        </is>
      </c>
      <c r="D17" t="inlineStr">
        <is>
          <t>Materials</t>
        </is>
      </c>
      <c r="E17" s="11" t="n">
        <v>0.3373795934284731</v>
      </c>
      <c r="F17" t="inlineStr"/>
      <c r="G17" t="n">
        <v>52</v>
      </c>
      <c r="H17" t="inlineStr">
        <is>
          <t>JETS</t>
        </is>
      </c>
      <c r="I17" t="inlineStr">
        <is>
          <t>Airlines</t>
        </is>
      </c>
      <c r="J17" t="inlineStr">
        <is>
          <t>Industrials</t>
        </is>
      </c>
      <c r="K17" s="11" t="n">
        <v>-0.1300887153612158</v>
      </c>
    </row>
    <row r="18">
      <c r="A18" t="n">
        <v>2</v>
      </c>
      <c r="B18" t="inlineStr">
        <is>
          <t>GDX</t>
        </is>
      </c>
      <c r="C18" t="inlineStr">
        <is>
          <t>Gold Miners</t>
        </is>
      </c>
      <c r="D18" t="inlineStr">
        <is>
          <t>Materials</t>
        </is>
      </c>
      <c r="E18" s="11" t="n">
        <v>0.3345166836442843</v>
      </c>
      <c r="F18" t="inlineStr"/>
      <c r="G18" t="n">
        <v>53</v>
      </c>
      <c r="H18" t="inlineStr">
        <is>
          <t>ITA</t>
        </is>
      </c>
      <c r="I18" t="inlineStr">
        <is>
          <t>Aerospace &amp; Defense</t>
        </is>
      </c>
      <c r="J18" t="inlineStr">
        <is>
          <t>Industrials</t>
        </is>
      </c>
      <c r="K18" s="11" t="n">
        <v>-0.08168077842146315</v>
      </c>
    </row>
    <row r="19">
      <c r="A19" t="n">
        <v>3</v>
      </c>
      <c r="B19" t="inlineStr">
        <is>
          <t>IDNA</t>
        </is>
      </c>
      <c r="C19" t="inlineStr">
        <is>
          <t>Genomics &amp; Immunology</t>
        </is>
      </c>
      <c r="D19" t="inlineStr">
        <is>
          <t>Health Care</t>
        </is>
      </c>
      <c r="E19" s="11" t="n">
        <v>0.2427514864612361</v>
      </c>
      <c r="F19" t="inlineStr"/>
      <c r="G19" t="n">
        <v>54</v>
      </c>
      <c r="H19" t="inlineStr">
        <is>
          <t>XAR</t>
        </is>
      </c>
      <c r="I19" t="inlineStr">
        <is>
          <t>Aerospace &amp; Defense (Equal Weight)</t>
        </is>
      </c>
      <c r="J19" t="inlineStr">
        <is>
          <t>Industrials</t>
        </is>
      </c>
      <c r="K19" s="11" t="n">
        <v>-0.07199507311147468</v>
      </c>
    </row>
    <row r="20">
      <c r="A20" t="n">
        <v>4</v>
      </c>
      <c r="B20" t="inlineStr">
        <is>
          <t>BDRY</t>
        </is>
      </c>
      <c r="C20" t="inlineStr">
        <is>
          <t>Dry Bulk Shipping &amp; Maritime Freight</t>
        </is>
      </c>
      <c r="D20" t="inlineStr">
        <is>
          <t>Industrials</t>
        </is>
      </c>
      <c r="E20" s="11" t="n">
        <v>0.1569892193782523</v>
      </c>
      <c r="F20" t="inlineStr"/>
      <c r="G20" t="n">
        <v>55</v>
      </c>
      <c r="H20" t="inlineStr">
        <is>
          <t>TAN</t>
        </is>
      </c>
      <c r="I20" t="inlineStr">
        <is>
          <t>Solar Energy</t>
        </is>
      </c>
      <c r="J20" t="inlineStr">
        <is>
          <t>Energy</t>
        </is>
      </c>
      <c r="K20" s="11" t="n">
        <v>-0.06869633767484684</v>
      </c>
    </row>
    <row r="21">
      <c r="A21" t="n">
        <v>5</v>
      </c>
      <c r="B21" t="inlineStr">
        <is>
          <t>IBB</t>
        </is>
      </c>
      <c r="C21" t="inlineStr">
        <is>
          <t>Biotechnology (Market Weight)</t>
        </is>
      </c>
      <c r="D21" t="inlineStr">
        <is>
          <t>Health Care</t>
        </is>
      </c>
      <c r="E21" s="11" t="n">
        <v>0.1500725799951705</v>
      </c>
      <c r="F21" t="inlineStr"/>
      <c r="G21" t="n">
        <v>56</v>
      </c>
      <c r="H21" t="inlineStr">
        <is>
          <t>XTN</t>
        </is>
      </c>
      <c r="I21" t="inlineStr">
        <is>
          <t>Trucking &amp; Logistics</t>
        </is>
      </c>
      <c r="J21" t="inlineStr">
        <is>
          <t>Industrials</t>
        </is>
      </c>
      <c r="K21" s="11" t="n">
        <v>-0.0587598346640873</v>
      </c>
    </row>
    <row r="22">
      <c r="A22" t="n">
        <v>6</v>
      </c>
      <c r="B22" t="inlineStr">
        <is>
          <t>COPX</t>
        </is>
      </c>
      <c r="C22" t="inlineStr">
        <is>
          <t>Copper Miners</t>
        </is>
      </c>
      <c r="D22" t="inlineStr">
        <is>
          <t>Materials</t>
        </is>
      </c>
      <c r="E22" s="11" t="n">
        <v>0.149823579866474</v>
      </c>
      <c r="F22" t="inlineStr"/>
      <c r="G22" t="n">
        <v>57</v>
      </c>
      <c r="H22" t="inlineStr">
        <is>
          <t>XRT</t>
        </is>
      </c>
      <c r="I22" t="inlineStr">
        <is>
          <t>Retail - Broad / Omnichannel</t>
        </is>
      </c>
      <c r="J22" t="inlineStr">
        <is>
          <t>Consumer Discretionary</t>
        </is>
      </c>
      <c r="K22" s="11" t="n">
        <v>-0.05171655122334329</v>
      </c>
    </row>
    <row r="23">
      <c r="A23" t="n">
        <v>7</v>
      </c>
      <c r="B23" t="inlineStr">
        <is>
          <t>XME</t>
        </is>
      </c>
      <c r="C23" t="inlineStr">
        <is>
          <t>Metals &amp; Mining</t>
        </is>
      </c>
      <c r="D23" t="inlineStr">
        <is>
          <t>Materials</t>
        </is>
      </c>
      <c r="E23" s="11" t="n">
        <v>0.1480942348237499</v>
      </c>
      <c r="F23" t="inlineStr"/>
      <c r="G23" t="n">
        <v>58</v>
      </c>
      <c r="H23" t="inlineStr">
        <is>
          <t>PAVE</t>
        </is>
      </c>
      <c r="I23" t="inlineStr">
        <is>
          <t>Infrastructure Development</t>
        </is>
      </c>
      <c r="J23" t="inlineStr">
        <is>
          <t>Industrials</t>
        </is>
      </c>
      <c r="K23" s="11" t="n">
        <v>-0.04953080019936662</v>
      </c>
    </row>
    <row r="24">
      <c r="A24" t="n">
        <v>8</v>
      </c>
      <c r="B24" t="inlineStr">
        <is>
          <t>OIH</t>
        </is>
      </c>
      <c r="C24" t="inlineStr">
        <is>
          <t>Oil Services &amp; Equipment</t>
        </is>
      </c>
      <c r="D24" t="inlineStr">
        <is>
          <t>Energy</t>
        </is>
      </c>
      <c r="E24" s="11" t="n">
        <v>0.124774270710313</v>
      </c>
      <c r="F24" t="inlineStr"/>
      <c r="G24" t="n">
        <v>59</v>
      </c>
      <c r="H24" t="inlineStr">
        <is>
          <t>AWAY</t>
        </is>
      </c>
      <c r="I24" t="inlineStr">
        <is>
          <t>Travel Tech &amp; Bookings</t>
        </is>
      </c>
      <c r="J24" t="inlineStr">
        <is>
          <t>Consumer Discretionary</t>
        </is>
      </c>
      <c r="K24" s="11" t="n">
        <v>-0.04764296577208449</v>
      </c>
    </row>
    <row r="25">
      <c r="A25" t="n">
        <v>9</v>
      </c>
      <c r="B25" t="inlineStr">
        <is>
          <t>URA</t>
        </is>
      </c>
      <c r="C25" t="inlineStr">
        <is>
          <t>Uranium &amp; Nuclear Energy</t>
        </is>
      </c>
      <c r="D25" t="inlineStr">
        <is>
          <t>Energy</t>
        </is>
      </c>
      <c r="E25" s="11" t="n">
        <v>0.119823553665666</v>
      </c>
      <c r="F25" t="inlineStr"/>
      <c r="G25" t="n">
        <v>60</v>
      </c>
      <c r="H25" t="inlineStr">
        <is>
          <t>XHB</t>
        </is>
      </c>
      <c r="I25" t="inlineStr">
        <is>
          <t>Homebuilders &amp; Residential Construction</t>
        </is>
      </c>
      <c r="J25" t="inlineStr">
        <is>
          <t>Consumer Discretionary</t>
        </is>
      </c>
      <c r="K25" s="11" t="n">
        <v>-0.03845434320998953</v>
      </c>
    </row>
    <row r="26">
      <c r="A26" t="n">
        <v>10</v>
      </c>
      <c r="B26" t="inlineStr">
        <is>
          <t>XBI</t>
        </is>
      </c>
      <c r="C26" t="inlineStr">
        <is>
          <t>Biotechnology (Equal Weight)</t>
        </is>
      </c>
      <c r="D26" t="inlineStr">
        <is>
          <t>Health Care</t>
        </is>
      </c>
      <c r="E26" s="11" t="n">
        <v>0.1158781318791959</v>
      </c>
      <c r="F26" t="inlineStr"/>
      <c r="G26" t="n">
        <v>61</v>
      </c>
      <c r="H26" t="inlineStr">
        <is>
          <t>IFRA</t>
        </is>
      </c>
      <c r="I26" t="inlineStr">
        <is>
          <t>US Infrastructure &amp; Engineering</t>
        </is>
      </c>
      <c r="J26" t="inlineStr">
        <is>
          <t>Industrials</t>
        </is>
      </c>
      <c r="K26" s="11" t="n">
        <v>-0.03536351665613691</v>
      </c>
    </row>
    <row r="27"/>
    <row r="28"/>
    <row r="29">
      <c r="A29" s="9">
        <f>== PAST 3 MONTHS LEADERS &amp; LAGGARDS ===</f>
        <v/>
      </c>
    </row>
    <row r="30">
      <c r="A30" s="10" t="inlineStr">
        <is>
          <t>Top 10 - Rank</t>
        </is>
      </c>
      <c r="B30" s="10" t="inlineStr">
        <is>
          <t>Top 10 - Ticker</t>
        </is>
      </c>
      <c r="C30" s="10" t="inlineStr">
        <is>
          <t>Top 10 - Subgroup Name</t>
        </is>
      </c>
      <c r="D30" s="10" t="inlineStr">
        <is>
          <t>Top 10 - Sector</t>
        </is>
      </c>
      <c r="E30" s="10" t="inlineStr">
        <is>
          <t>Top 10 - 3M</t>
        </is>
      </c>
      <c r="F30" t="inlineStr"/>
      <c r="G30" s="10" t="inlineStr">
        <is>
          <t>Bottom 10 - Rank</t>
        </is>
      </c>
      <c r="H30" s="10" t="inlineStr">
        <is>
          <t>Bottom 10 - Ticker</t>
        </is>
      </c>
      <c r="I30" s="10" t="inlineStr">
        <is>
          <t>Bottom 10 - Subgroup Name</t>
        </is>
      </c>
      <c r="J30" s="10" t="inlineStr">
        <is>
          <t>Bottom 10 - Sector</t>
        </is>
      </c>
      <c r="K30" s="10" t="inlineStr">
        <is>
          <t>Bottom 10 - 3M</t>
        </is>
      </c>
    </row>
    <row r="31">
      <c r="A31" t="n">
        <v>1</v>
      </c>
      <c r="B31" t="inlineStr">
        <is>
          <t>IDNA</t>
        </is>
      </c>
      <c r="C31" t="inlineStr">
        <is>
          <t>Genomics &amp; Immunology</t>
        </is>
      </c>
      <c r="D31" t="inlineStr">
        <is>
          <t>Health Care</t>
        </is>
      </c>
      <c r="E31" s="11" t="n">
        <v>0.4004807108043775</v>
      </c>
      <c r="F31" t="inlineStr"/>
      <c r="G31" t="n">
        <v>52</v>
      </c>
      <c r="H31" t="inlineStr">
        <is>
          <t>TAN</t>
        </is>
      </c>
      <c r="I31" t="inlineStr">
        <is>
          <t>Solar Energy</t>
        </is>
      </c>
      <c r="J31" t="inlineStr">
        <is>
          <t>Energy</t>
        </is>
      </c>
      <c r="K31" s="11" t="n">
        <v>-0.3210982984898271</v>
      </c>
    </row>
    <row r="32">
      <c r="A32" t="n">
        <v>2</v>
      </c>
      <c r="B32" t="inlineStr">
        <is>
          <t>BDRY</t>
        </is>
      </c>
      <c r="C32" t="inlineStr">
        <is>
          <t>Dry Bulk Shipping &amp; Maritime Freight</t>
        </is>
      </c>
      <c r="D32" t="inlineStr">
        <is>
          <t>Industrials</t>
        </is>
      </c>
      <c r="E32" s="11" t="n">
        <v>0.2789223087170745</v>
      </c>
      <c r="F32" t="inlineStr"/>
      <c r="G32" t="n">
        <v>53</v>
      </c>
      <c r="H32" t="inlineStr">
        <is>
          <t>XSD</t>
        </is>
      </c>
      <c r="I32" t="inlineStr">
        <is>
          <t>Semiconductors - Equal Weight</t>
        </is>
      </c>
      <c r="J32" t="inlineStr">
        <is>
          <t>Technology</t>
        </is>
      </c>
      <c r="K32" s="11" t="n">
        <v>-0.2632396691450031</v>
      </c>
    </row>
    <row r="33">
      <c r="A33" t="n">
        <v>3</v>
      </c>
      <c r="B33" t="inlineStr">
        <is>
          <t>IBB</t>
        </is>
      </c>
      <c r="C33" t="inlineStr">
        <is>
          <t>Biotechnology (Market Weight)</t>
        </is>
      </c>
      <c r="D33" t="inlineStr">
        <is>
          <t>Health Care</t>
        </is>
      </c>
      <c r="E33" s="11" t="n">
        <v>0.2766570481781769</v>
      </c>
      <c r="F33" t="inlineStr"/>
      <c r="G33" t="n">
        <v>54</v>
      </c>
      <c r="H33" t="inlineStr">
        <is>
          <t>ICLN</t>
        </is>
      </c>
      <c r="I33" t="inlineStr">
        <is>
          <t>Clean &amp; Renewable Energy</t>
        </is>
      </c>
      <c r="J33" t="inlineStr">
        <is>
          <t>Energy</t>
        </is>
      </c>
      <c r="K33" s="11" t="n">
        <v>-0.2344167200553614</v>
      </c>
    </row>
    <row r="34">
      <c r="A34" t="n">
        <v>4</v>
      </c>
      <c r="B34" t="inlineStr">
        <is>
          <t>XBI</t>
        </is>
      </c>
      <c r="C34" t="inlineStr">
        <is>
          <t>Biotechnology (Equal Weight)</t>
        </is>
      </c>
      <c r="D34" t="inlineStr">
        <is>
          <t>Health Care</t>
        </is>
      </c>
      <c r="E34" s="11" t="n">
        <v>0.2673601017388425</v>
      </c>
      <c r="F34" t="inlineStr"/>
      <c r="G34" t="n">
        <v>55</v>
      </c>
      <c r="H34" t="inlineStr">
        <is>
          <t>SMH</t>
        </is>
      </c>
      <c r="I34" t="inlineStr">
        <is>
          <t>Semiconductor Manufacturers</t>
        </is>
      </c>
      <c r="J34" t="inlineStr">
        <is>
          <t>Technology</t>
        </is>
      </c>
      <c r="K34" s="11" t="n">
        <v>-0.1337200902390255</v>
      </c>
    </row>
    <row r="35">
      <c r="A35" t="n">
        <v>5</v>
      </c>
      <c r="B35" t="inlineStr">
        <is>
          <t>XPH</t>
        </is>
      </c>
      <c r="C35" t="inlineStr">
        <is>
          <t>Pharmaceuticals</t>
        </is>
      </c>
      <c r="D35" t="inlineStr">
        <is>
          <t>Health Care</t>
        </is>
      </c>
      <c r="E35" s="11" t="n">
        <v>0.2624063208426435</v>
      </c>
      <c r="F35" t="inlineStr"/>
      <c r="G35" t="n">
        <v>56</v>
      </c>
      <c r="H35" t="inlineStr">
        <is>
          <t>LIT</t>
        </is>
      </c>
      <c r="I35" t="inlineStr">
        <is>
          <t>Lithium &amp; Battery Tech</t>
        </is>
      </c>
      <c r="J35" t="inlineStr">
        <is>
          <t>Materials</t>
        </is>
      </c>
      <c r="K35" s="11" t="n">
        <v>-0.1187830029032533</v>
      </c>
    </row>
    <row r="36">
      <c r="A36" t="n">
        <v>6</v>
      </c>
      <c r="B36" t="inlineStr">
        <is>
          <t>GDX</t>
        </is>
      </c>
      <c r="C36" t="inlineStr">
        <is>
          <t>Gold Miners</t>
        </is>
      </c>
      <c r="D36" t="inlineStr">
        <is>
          <t>Materials</t>
        </is>
      </c>
      <c r="E36" s="11" t="n">
        <v>0.1939999748678769</v>
      </c>
      <c r="F36" t="inlineStr"/>
      <c r="G36" t="n">
        <v>57</v>
      </c>
      <c r="H36" t="inlineStr">
        <is>
          <t>BOTZ</t>
        </is>
      </c>
      <c r="I36" t="inlineStr">
        <is>
          <t>Robotics &amp; Artificial Intelligence</t>
        </is>
      </c>
      <c r="J36" t="inlineStr">
        <is>
          <t>Technology</t>
        </is>
      </c>
      <c r="K36" s="11" t="n">
        <v>-0.1103076579844193</v>
      </c>
    </row>
    <row r="37">
      <c r="A37" t="n">
        <v>7</v>
      </c>
      <c r="B37" t="inlineStr">
        <is>
          <t>KBWP</t>
        </is>
      </c>
      <c r="C37" t="inlineStr">
        <is>
          <t>Insurance Underwriters</t>
        </is>
      </c>
      <c r="D37" t="inlineStr">
        <is>
          <t>Financials</t>
        </is>
      </c>
      <c r="E37" s="11" t="n">
        <v>0.1787729857964029</v>
      </c>
      <c r="F37" t="inlineStr"/>
      <c r="G37" t="n">
        <v>58</v>
      </c>
      <c r="H37" t="inlineStr">
        <is>
          <t>GRID</t>
        </is>
      </c>
      <c r="I37" t="inlineStr">
        <is>
          <t>Smart Grid &amp; Electric Infrastructure</t>
        </is>
      </c>
      <c r="J37" t="inlineStr">
        <is>
          <t>Utilities</t>
        </is>
      </c>
      <c r="K37" s="11" t="n">
        <v>-0.09578854407269466</v>
      </c>
    </row>
    <row r="38">
      <c r="A38" t="n">
        <v>8</v>
      </c>
      <c r="B38" t="inlineStr">
        <is>
          <t>IHF</t>
        </is>
      </c>
      <c r="C38" t="inlineStr">
        <is>
          <t>Health Care Providers &amp; Managed Care</t>
        </is>
      </c>
      <c r="D38" t="inlineStr">
        <is>
          <t>Health Care</t>
        </is>
      </c>
      <c r="E38" s="11" t="n">
        <v>0.1608317085704944</v>
      </c>
      <c r="F38" t="inlineStr"/>
      <c r="G38" t="n">
        <v>59</v>
      </c>
      <c r="H38" t="inlineStr">
        <is>
          <t>URA</t>
        </is>
      </c>
      <c r="I38" t="inlineStr">
        <is>
          <t>Uranium &amp; Nuclear Energy</t>
        </is>
      </c>
      <c r="J38" t="inlineStr">
        <is>
          <t>Energy</t>
        </is>
      </c>
      <c r="K38" s="11" t="n">
        <v>-0.09307399649765513</v>
      </c>
    </row>
    <row r="39">
      <c r="A39" t="n">
        <v>9</v>
      </c>
      <c r="B39" t="inlineStr">
        <is>
          <t>SIL</t>
        </is>
      </c>
      <c r="C39" t="inlineStr">
        <is>
          <t>Silver Miners</t>
        </is>
      </c>
      <c r="D39" t="inlineStr">
        <is>
          <t>Materials</t>
        </is>
      </c>
      <c r="E39" s="11" t="n">
        <v>0.16013016761884</v>
      </c>
      <c r="F39" t="inlineStr"/>
      <c r="G39" t="n">
        <v>60</v>
      </c>
      <c r="H39" t="inlineStr">
        <is>
          <t>FAN</t>
        </is>
      </c>
      <c r="I39" t="inlineStr">
        <is>
          <t>Wind Energy</t>
        </is>
      </c>
      <c r="J39" t="inlineStr">
        <is>
          <t>Energy</t>
        </is>
      </c>
      <c r="K39" s="11" t="n">
        <v>-0.0841048638237093</v>
      </c>
    </row>
    <row r="40">
      <c r="A40" t="n">
        <v>10</v>
      </c>
      <c r="B40" t="inlineStr">
        <is>
          <t>IAK</t>
        </is>
      </c>
      <c r="C40" t="inlineStr">
        <is>
          <t>Property &amp; Casualty Insurance</t>
        </is>
      </c>
      <c r="D40" t="inlineStr">
        <is>
          <t>Financials</t>
        </is>
      </c>
      <c r="E40" s="11" t="n">
        <v>0.1588731669446615</v>
      </c>
      <c r="F40" t="inlineStr"/>
      <c r="G40" t="n">
        <v>61</v>
      </c>
      <c r="H40" t="inlineStr">
        <is>
          <t>XME</t>
        </is>
      </c>
      <c r="I40" t="inlineStr">
        <is>
          <t>Metals &amp; Mining</t>
        </is>
      </c>
      <c r="J40" t="inlineStr">
        <is>
          <t>Materials</t>
        </is>
      </c>
      <c r="K40" s="11" t="n">
        <v>-0.07833976807831888</v>
      </c>
    </row>
    <row r="41"/>
    <row r="42"/>
    <row r="43">
      <c r="A43" s="9">
        <f>== PAST 6 MONTHS LEADERS &amp; LAGGARDS ===</f>
        <v/>
      </c>
    </row>
    <row r="44">
      <c r="A44" s="10" t="inlineStr">
        <is>
          <t>Top 10 - Rank</t>
        </is>
      </c>
      <c r="B44" s="10" t="inlineStr">
        <is>
          <t>Top 10 - Ticker</t>
        </is>
      </c>
      <c r="C44" s="10" t="inlineStr">
        <is>
          <t>Top 10 - Subgroup Name</t>
        </is>
      </c>
      <c r="D44" s="10" t="inlineStr">
        <is>
          <t>Top 10 - Sector</t>
        </is>
      </c>
      <c r="E44" s="10" t="inlineStr">
        <is>
          <t>Top 10 - 6M</t>
        </is>
      </c>
      <c r="F44" t="inlineStr"/>
      <c r="G44" s="10" t="inlineStr">
        <is>
          <t>Bottom 10 - Rank</t>
        </is>
      </c>
      <c r="H44" s="10" t="inlineStr">
        <is>
          <t>Bottom 10 - Ticker</t>
        </is>
      </c>
      <c r="I44" s="10" t="inlineStr">
        <is>
          <t>Bottom 10 - Subgroup Name</t>
        </is>
      </c>
      <c r="J44" s="10" t="inlineStr">
        <is>
          <t>Bottom 10 - Sector</t>
        </is>
      </c>
      <c r="K44" s="10" t="inlineStr">
        <is>
          <t>Bottom 10 - 6M</t>
        </is>
      </c>
    </row>
    <row r="45">
      <c r="A45" t="n">
        <v>1</v>
      </c>
      <c r="B45" t="inlineStr">
        <is>
          <t>CIBR</t>
        </is>
      </c>
      <c r="C45" t="inlineStr">
        <is>
          <t>Cybersecurity Leaders</t>
        </is>
      </c>
      <c r="D45" t="inlineStr">
        <is>
          <t>Technology</t>
        </is>
      </c>
      <c r="E45" s="11" t="n">
        <v>0.495350705866505</v>
      </c>
      <c r="F45" t="inlineStr"/>
      <c r="G45" t="n">
        <v>52</v>
      </c>
      <c r="H45" t="inlineStr">
        <is>
          <t>TAN</t>
        </is>
      </c>
      <c r="I45" t="inlineStr">
        <is>
          <t>Solar Energy</t>
        </is>
      </c>
      <c r="J45" t="inlineStr">
        <is>
          <t>Energy</t>
        </is>
      </c>
      <c r="K45" s="11" t="n">
        <v>-0.1239214218602668</v>
      </c>
    </row>
    <row r="46">
      <c r="A46" t="n">
        <v>2</v>
      </c>
      <c r="B46" t="inlineStr">
        <is>
          <t>CLOU</t>
        </is>
      </c>
      <c r="C46" t="inlineStr">
        <is>
          <t>Cloud Computing &amp; SaaS</t>
        </is>
      </c>
      <c r="D46" t="inlineStr">
        <is>
          <t>Technology</t>
        </is>
      </c>
      <c r="E46" s="11" t="n">
        <v>0.4840897574184868</v>
      </c>
      <c r="F46" t="inlineStr"/>
      <c r="G46" t="n">
        <v>53</v>
      </c>
      <c r="H46" t="inlineStr">
        <is>
          <t>URA</t>
        </is>
      </c>
      <c r="I46" t="inlineStr">
        <is>
          <t>Uranium &amp; Nuclear Energy</t>
        </is>
      </c>
      <c r="J46" t="inlineStr">
        <is>
          <t>Energy</t>
        </is>
      </c>
      <c r="K46" s="11" t="n">
        <v>-0.1211538314819336</v>
      </c>
    </row>
    <row r="47">
      <c r="A47" t="n">
        <v>3</v>
      </c>
      <c r="B47" t="inlineStr">
        <is>
          <t>HACK</t>
        </is>
      </c>
      <c r="C47" t="inlineStr">
        <is>
          <t>Cybersecurity</t>
        </is>
      </c>
      <c r="D47" t="inlineStr">
        <is>
          <t>Technology</t>
        </is>
      </c>
      <c r="E47" s="11" t="n">
        <v>0.4821262296252076</v>
      </c>
      <c r="F47" t="inlineStr"/>
      <c r="G47" t="n">
        <v>54</v>
      </c>
      <c r="H47" t="inlineStr">
        <is>
          <t>XAR</t>
        </is>
      </c>
      <c r="I47" t="inlineStr">
        <is>
          <t>Aerospace &amp; Defense (Equal Weight)</t>
        </is>
      </c>
      <c r="J47" t="inlineStr">
        <is>
          <t>Industrials</t>
        </is>
      </c>
      <c r="K47" s="11" t="n">
        <v>-0.1063680253149141</v>
      </c>
    </row>
    <row r="48">
      <c r="A48" t="n">
        <v>4</v>
      </c>
      <c r="B48" t="inlineStr">
        <is>
          <t>XSD</t>
        </is>
      </c>
      <c r="C48" t="inlineStr">
        <is>
          <t>Semiconductors - Equal Weight</t>
        </is>
      </c>
      <c r="D48" t="inlineStr">
        <is>
          <t>Technology</t>
        </is>
      </c>
      <c r="E48" s="11" t="n">
        <v>0.4152482948354108</v>
      </c>
      <c r="F48" t="inlineStr"/>
      <c r="G48" t="n">
        <v>55</v>
      </c>
      <c r="H48" t="inlineStr">
        <is>
          <t>ITB</t>
        </is>
      </c>
      <c r="I48" t="inlineStr">
        <is>
          <t>Home Construction</t>
        </is>
      </c>
      <c r="J48" t="inlineStr">
        <is>
          <t>Consumer Discretionary</t>
        </is>
      </c>
      <c r="K48" s="11" t="n">
        <v>-0.09390332565340553</v>
      </c>
    </row>
    <row r="49">
      <c r="A49" t="n">
        <v>5</v>
      </c>
      <c r="B49" t="inlineStr">
        <is>
          <t>SMH</t>
        </is>
      </c>
      <c r="C49" t="inlineStr">
        <is>
          <t>Semiconductor Manufacturers</t>
        </is>
      </c>
      <c r="D49" t="inlineStr">
        <is>
          <t>Technology</t>
        </is>
      </c>
      <c r="E49" s="11" t="n">
        <v>0.4130823378403456</v>
      </c>
      <c r="F49" t="inlineStr"/>
      <c r="G49" t="n">
        <v>56</v>
      </c>
      <c r="H49" t="inlineStr">
        <is>
          <t>IHI</t>
        </is>
      </c>
      <c r="I49" t="inlineStr">
        <is>
          <t>Medical Devices &amp; Equipment</t>
        </is>
      </c>
      <c r="J49" t="inlineStr">
        <is>
          <t>Health Care</t>
        </is>
      </c>
      <c r="K49" s="11" t="n">
        <v>-0.08418084822211425</v>
      </c>
    </row>
    <row r="50">
      <c r="A50" t="n">
        <v>6</v>
      </c>
      <c r="B50" t="inlineStr">
        <is>
          <t>IDNA</t>
        </is>
      </c>
      <c r="C50" t="inlineStr">
        <is>
          <t>Genomics &amp; Immunology</t>
        </is>
      </c>
      <c r="D50" t="inlineStr">
        <is>
          <t>Health Care</t>
        </is>
      </c>
      <c r="E50" s="11" t="n">
        <v>0.3563488472305776</v>
      </c>
      <c r="F50" t="inlineStr"/>
      <c r="G50" t="n">
        <v>57</v>
      </c>
      <c r="H50" t="inlineStr">
        <is>
          <t>XHB</t>
        </is>
      </c>
      <c r="I50" t="inlineStr">
        <is>
          <t>Homebuilders &amp; Residential Construction</t>
        </is>
      </c>
      <c r="J50" t="inlineStr">
        <is>
          <t>Consumer Discretionary</t>
        </is>
      </c>
      <c r="K50" s="11" t="n">
        <v>-0.07826234585770897</v>
      </c>
    </row>
    <row r="51">
      <c r="A51" t="n">
        <v>7</v>
      </c>
      <c r="B51" t="inlineStr">
        <is>
          <t>XBI</t>
        </is>
      </c>
      <c r="C51" t="inlineStr">
        <is>
          <t>Biotechnology (Equal Weight)</t>
        </is>
      </c>
      <c r="D51" t="inlineStr">
        <is>
          <t>Health Care</t>
        </is>
      </c>
      <c r="E51" s="11" t="n">
        <v>0.3323187923557203</v>
      </c>
      <c r="F51" t="inlineStr"/>
      <c r="G51" t="n">
        <v>58</v>
      </c>
      <c r="H51" t="inlineStr">
        <is>
          <t>ITA</t>
        </is>
      </c>
      <c r="I51" t="inlineStr">
        <is>
          <t>Aerospace &amp; Defense</t>
        </is>
      </c>
      <c r="J51" t="inlineStr">
        <is>
          <t>Industrials</t>
        </is>
      </c>
      <c r="K51" s="11" t="n">
        <v>-0.07631073274122968</v>
      </c>
    </row>
    <row r="52">
      <c r="A52" t="n">
        <v>8</v>
      </c>
      <c r="B52" t="inlineStr">
        <is>
          <t>NXTG</t>
        </is>
      </c>
      <c r="C52" t="inlineStr">
        <is>
          <t>NextGen 5G &amp; Telecom Infrastructure</t>
        </is>
      </c>
      <c r="D52" t="inlineStr">
        <is>
          <t>Communication</t>
        </is>
      </c>
      <c r="E52" s="11" t="n">
        <v>0.3290334925516047</v>
      </c>
      <c r="F52" t="inlineStr"/>
      <c r="G52" t="n">
        <v>59</v>
      </c>
      <c r="H52" t="inlineStr">
        <is>
          <t>XLU</t>
        </is>
      </c>
      <c r="I52" t="inlineStr">
        <is>
          <t>Electric &amp; Gas Utilities</t>
        </is>
      </c>
      <c r="J52" t="inlineStr">
        <is>
          <t>Utilities</t>
        </is>
      </c>
      <c r="K52" s="11" t="n">
        <v>-0.07356011177014676</v>
      </c>
    </row>
    <row r="53">
      <c r="A53" t="n">
        <v>9</v>
      </c>
      <c r="B53" t="inlineStr">
        <is>
          <t>BDRY</t>
        </is>
      </c>
      <c r="C53" t="inlineStr">
        <is>
          <t>Dry Bulk Shipping &amp; Maritime Freight</t>
        </is>
      </c>
      <c r="D53" t="inlineStr">
        <is>
          <t>Industrials</t>
        </is>
      </c>
      <c r="E53" s="11" t="n">
        <v>0.291199951171875</v>
      </c>
      <c r="F53" t="inlineStr"/>
      <c r="G53" t="n">
        <v>60</v>
      </c>
      <c r="H53" t="inlineStr">
        <is>
          <t>VNQI</t>
        </is>
      </c>
      <c r="I53" t="inlineStr">
        <is>
          <t>International Real Estate</t>
        </is>
      </c>
      <c r="J53" t="inlineStr">
        <is>
          <t>Real Estate</t>
        </is>
      </c>
      <c r="K53" s="11" t="n">
        <v>-0.06516345709424398</v>
      </c>
    </row>
    <row r="54">
      <c r="A54" t="n">
        <v>10</v>
      </c>
      <c r="B54" t="inlineStr">
        <is>
          <t>IHF</t>
        </is>
      </c>
      <c r="C54" t="inlineStr">
        <is>
          <t>Health Care Providers &amp; Managed Care</t>
        </is>
      </c>
      <c r="D54" t="inlineStr">
        <is>
          <t>Health Care</t>
        </is>
      </c>
      <c r="E54" s="11" t="n">
        <v>0.2802273032885436</v>
      </c>
      <c r="F54" t="inlineStr"/>
      <c r="G54" t="n">
        <v>61</v>
      </c>
      <c r="H54" t="inlineStr">
        <is>
          <t>SIL</t>
        </is>
      </c>
      <c r="I54" t="inlineStr">
        <is>
          <t>Silver Miners</t>
        </is>
      </c>
      <c r="J54" t="inlineStr">
        <is>
          <t>Materials</t>
        </is>
      </c>
      <c r="K54" s="11" t="n">
        <v>-0.04748692911769004</v>
      </c>
    </row>
    <row r="55"/>
    <row r="56"/>
    <row r="57">
      <c r="A57" s="9">
        <f>== PAST 1 YEAR LEADERS &amp; LAGGARDS ===</f>
        <v/>
      </c>
    </row>
    <row r="58">
      <c r="A58" s="10" t="inlineStr">
        <is>
          <t>Top 10 - Rank</t>
        </is>
      </c>
      <c r="B58" s="10" t="inlineStr">
        <is>
          <t>Top 10 - Ticker</t>
        </is>
      </c>
      <c r="C58" s="10" t="inlineStr">
        <is>
          <t>Top 10 - Subgroup Name</t>
        </is>
      </c>
      <c r="D58" s="10" t="inlineStr">
        <is>
          <t>Top 10 - Sector</t>
        </is>
      </c>
      <c r="E58" s="10" t="inlineStr">
        <is>
          <t>Top 10 - 1Y</t>
        </is>
      </c>
      <c r="F58" t="inlineStr"/>
      <c r="G58" s="10" t="inlineStr">
        <is>
          <t>Bottom 10 - Rank</t>
        </is>
      </c>
      <c r="H58" s="10" t="inlineStr">
        <is>
          <t>Bottom 10 - Ticker</t>
        </is>
      </c>
      <c r="I58" s="10" t="inlineStr">
        <is>
          <t>Bottom 10 - Subgroup Name</t>
        </is>
      </c>
      <c r="J58" s="10" t="inlineStr">
        <is>
          <t>Bottom 10 - Sector</t>
        </is>
      </c>
      <c r="K58" s="10" t="inlineStr">
        <is>
          <t>Bottom 10 - 1Y</t>
        </is>
      </c>
    </row>
    <row r="59">
      <c r="A59" t="n">
        <v>1</v>
      </c>
      <c r="B59" t="inlineStr">
        <is>
          <t>BDRY</t>
        </is>
      </c>
      <c r="C59" t="inlineStr">
        <is>
          <t>Dry Bulk Shipping &amp; Maritime Freight</t>
        </is>
      </c>
      <c r="D59" t="inlineStr">
        <is>
          <t>Industrials</t>
        </is>
      </c>
      <c r="E59" s="11" t="n">
        <v>0.9828008241901471</v>
      </c>
      <c r="F59" t="inlineStr"/>
      <c r="G59" t="n">
        <v>52</v>
      </c>
      <c r="H59" t="inlineStr">
        <is>
          <t>BETZ</t>
        </is>
      </c>
      <c r="I59" t="inlineStr">
        <is>
          <t>Casinos, Gaming &amp; Sports Betting</t>
        </is>
      </c>
      <c r="J59" t="inlineStr">
        <is>
          <t>Consumer Discretionary</t>
        </is>
      </c>
      <c r="K59" s="11" t="n">
        <v>-0.17593231266981</v>
      </c>
    </row>
    <row r="60">
      <c r="A60" t="n">
        <v>2</v>
      </c>
      <c r="B60" t="inlineStr">
        <is>
          <t>SMH</t>
        </is>
      </c>
      <c r="C60" t="inlineStr">
        <is>
          <t>Semiconductor Manufacturers</t>
        </is>
      </c>
      <c r="D60" t="inlineStr">
        <is>
          <t>Technology</t>
        </is>
      </c>
      <c r="E60" s="11" t="n">
        <v>0.9352702427713244</v>
      </c>
      <c r="F60" t="inlineStr"/>
      <c r="G60" t="n">
        <v>53</v>
      </c>
      <c r="H60" t="inlineStr">
        <is>
          <t>FINX</t>
        </is>
      </c>
      <c r="I60" t="inlineStr">
        <is>
          <t>FinTech &amp; Digital Payments</t>
        </is>
      </c>
      <c r="J60" t="inlineStr">
        <is>
          <t>Technology</t>
        </is>
      </c>
      <c r="K60" s="11" t="n">
        <v>-0.1536902643414675</v>
      </c>
    </row>
    <row r="61">
      <c r="A61" t="n">
        <v>3</v>
      </c>
      <c r="B61" t="inlineStr">
        <is>
          <t>COPX</t>
        </is>
      </c>
      <c r="C61" t="inlineStr">
        <is>
          <t>Copper Miners</t>
        </is>
      </c>
      <c r="D61" t="inlineStr">
        <is>
          <t>Materials</t>
        </is>
      </c>
      <c r="E61" s="11" t="n">
        <v>0.8363110664567146</v>
      </c>
      <c r="F61" t="inlineStr"/>
      <c r="G61" t="n">
        <v>54</v>
      </c>
      <c r="H61" t="inlineStr">
        <is>
          <t>ITB</t>
        </is>
      </c>
      <c r="I61" t="inlineStr">
        <is>
          <t>Home Construction</t>
        </is>
      </c>
      <c r="J61" t="inlineStr">
        <is>
          <t>Consumer Discretionary</t>
        </is>
      </c>
      <c r="K61" s="11" t="n">
        <v>-0.1500031967628672</v>
      </c>
    </row>
    <row r="62">
      <c r="A62" t="n">
        <v>4</v>
      </c>
      <c r="B62" t="inlineStr">
        <is>
          <t>IDNA</t>
        </is>
      </c>
      <c r="C62" t="inlineStr">
        <is>
          <t>Genomics &amp; Immunology</t>
        </is>
      </c>
      <c r="D62" t="inlineStr">
        <is>
          <t>Health Care</t>
        </is>
      </c>
      <c r="E62" s="11" t="n">
        <v>0.7986445514990987</v>
      </c>
      <c r="F62" t="inlineStr"/>
      <c r="G62" t="n">
        <v>55</v>
      </c>
      <c r="H62" t="inlineStr">
        <is>
          <t>AWAY</t>
        </is>
      </c>
      <c r="I62" t="inlineStr">
        <is>
          <t>Travel Tech &amp; Bookings</t>
        </is>
      </c>
      <c r="J62" t="inlineStr">
        <is>
          <t>Consumer Discretionary</t>
        </is>
      </c>
      <c r="K62" s="11" t="n">
        <v>-0.1274982630989679</v>
      </c>
    </row>
    <row r="63">
      <c r="A63" t="n">
        <v>5</v>
      </c>
      <c r="B63" t="inlineStr">
        <is>
          <t>XBI</t>
        </is>
      </c>
      <c r="C63" t="inlineStr">
        <is>
          <t>Biotechnology (Equal Weight)</t>
        </is>
      </c>
      <c r="D63" t="inlineStr">
        <is>
          <t>Health Care</t>
        </is>
      </c>
      <c r="E63" s="11" t="n">
        <v>0.7632926119456243</v>
      </c>
      <c r="F63" t="inlineStr"/>
      <c r="G63" t="n">
        <v>56</v>
      </c>
      <c r="H63" t="inlineStr">
        <is>
          <t>IHI</t>
        </is>
      </c>
      <c r="I63" t="inlineStr">
        <is>
          <t>Medical Devices &amp; Equipment</t>
        </is>
      </c>
      <c r="J63" t="inlineStr">
        <is>
          <t>Health Care</t>
        </is>
      </c>
      <c r="K63" s="11" t="n">
        <v>-0.1164747197631892</v>
      </c>
    </row>
    <row r="64">
      <c r="A64" t="n">
        <v>6</v>
      </c>
      <c r="B64" t="inlineStr">
        <is>
          <t>OIH</t>
        </is>
      </c>
      <c r="C64" t="inlineStr">
        <is>
          <t>Oil Services &amp; Equipment</t>
        </is>
      </c>
      <c r="D64" t="inlineStr">
        <is>
          <t>Energy</t>
        </is>
      </c>
      <c r="E64" s="11" t="n">
        <v>0.7502709785625572</v>
      </c>
      <c r="F64" t="inlineStr"/>
      <c r="G64" t="n">
        <v>57</v>
      </c>
      <c r="H64" t="inlineStr">
        <is>
          <t>XHB</t>
        </is>
      </c>
      <c r="I64" t="inlineStr">
        <is>
          <t>Homebuilders &amp; Residential Construction</t>
        </is>
      </c>
      <c r="J64" t="inlineStr">
        <is>
          <t>Consumer Discretionary</t>
        </is>
      </c>
      <c r="K64" s="11" t="n">
        <v>-0.09304697900482028</v>
      </c>
    </row>
    <row r="65">
      <c r="A65" t="n">
        <v>7</v>
      </c>
      <c r="B65" t="inlineStr">
        <is>
          <t>XSD</t>
        </is>
      </c>
      <c r="C65" t="inlineStr">
        <is>
          <t>Semiconductors - Equal Weight</t>
        </is>
      </c>
      <c r="D65" t="inlineStr">
        <is>
          <t>Technology</t>
        </is>
      </c>
      <c r="E65" s="11" t="n">
        <v>0.7002465551887624</v>
      </c>
      <c r="F65" t="inlineStr"/>
      <c r="G65" t="n">
        <v>58</v>
      </c>
      <c r="H65" t="inlineStr">
        <is>
          <t>BIZD</t>
        </is>
      </c>
      <c r="I65" t="inlineStr">
        <is>
          <t>Business Development Companies (BDCs)</t>
        </is>
      </c>
      <c r="J65" t="inlineStr">
        <is>
          <t>Financials</t>
        </is>
      </c>
      <c r="K65" s="11" t="n">
        <v>-0.06372205811809772</v>
      </c>
    </row>
    <row r="66">
      <c r="A66" t="n">
        <v>8</v>
      </c>
      <c r="B66" t="inlineStr">
        <is>
          <t>SIL</t>
        </is>
      </c>
      <c r="C66" t="inlineStr">
        <is>
          <t>Silver Miners</t>
        </is>
      </c>
      <c r="D66" t="inlineStr">
        <is>
          <t>Materials</t>
        </is>
      </c>
      <c r="E66" s="11" t="n">
        <v>0.6835003079552564</v>
      </c>
      <c r="F66" t="inlineStr"/>
      <c r="G66" t="n">
        <v>59</v>
      </c>
      <c r="H66" t="inlineStr">
        <is>
          <t>WOOD</t>
        </is>
      </c>
      <c r="I66" t="inlineStr">
        <is>
          <t>Timber &amp; Forestry</t>
        </is>
      </c>
      <c r="J66" t="inlineStr">
        <is>
          <t>Materials</t>
        </is>
      </c>
      <c r="K66" s="11" t="n">
        <v>-0.02214449150025655</v>
      </c>
    </row>
    <row r="67">
      <c r="A67" t="n">
        <v>9</v>
      </c>
      <c r="B67" t="inlineStr">
        <is>
          <t>SLX</t>
        </is>
      </c>
      <c r="C67" t="inlineStr">
        <is>
          <t>Steel Industry</t>
        </is>
      </c>
      <c r="D67" t="inlineStr">
        <is>
          <t>Materials</t>
        </is>
      </c>
      <c r="E67" s="11" t="n">
        <v>0.6150270682329779</v>
      </c>
      <c r="F67" t="inlineStr"/>
      <c r="G67" t="n">
        <v>60</v>
      </c>
      <c r="H67" t="inlineStr">
        <is>
          <t>IGV</t>
        </is>
      </c>
      <c r="I67" t="inlineStr">
        <is>
          <t>Software &amp; Cloud Applications</t>
        </is>
      </c>
      <c r="J67" t="inlineStr">
        <is>
          <t>Technology</t>
        </is>
      </c>
      <c r="K67" s="11" t="n">
        <v>-0.003260805417516055</v>
      </c>
    </row>
    <row r="68">
      <c r="A68" t="n">
        <v>10</v>
      </c>
      <c r="B68" t="inlineStr">
        <is>
          <t>LIT</t>
        </is>
      </c>
      <c r="C68" t="inlineStr">
        <is>
          <t>Lithium &amp; Battery Tech</t>
        </is>
      </c>
      <c r="D68" t="inlineStr">
        <is>
          <t>Materials</t>
        </is>
      </c>
      <c r="E68" s="11" t="n">
        <v>0.598446727687884</v>
      </c>
      <c r="F68" t="inlineStr"/>
      <c r="G68" t="n">
        <v>61</v>
      </c>
      <c r="H68" t="inlineStr">
        <is>
          <t>XLC</t>
        </is>
      </c>
      <c r="I68" t="inlineStr">
        <is>
          <t>Media &amp; Interactive Media</t>
        </is>
      </c>
      <c r="J68" t="inlineStr">
        <is>
          <t>Communication</t>
        </is>
      </c>
      <c r="K68" s="11" t="n">
        <v>0.01544221513067323</v>
      </c>
    </row>
    <row r="69"/>
    <row r="70"/>
    <row r="71">
      <c r="A71" s="9">
        <f>== PAST 3 YEARS LEADERS &amp; LAGGARDS ===</f>
        <v/>
      </c>
    </row>
    <row r="72">
      <c r="A72" s="10" t="inlineStr">
        <is>
          <t>Top 10 - Rank</t>
        </is>
      </c>
      <c r="B72" s="10" t="inlineStr">
        <is>
          <t>Top 10 - Ticker</t>
        </is>
      </c>
      <c r="C72" s="10" t="inlineStr">
        <is>
          <t>Top 10 - Subgroup Name</t>
        </is>
      </c>
      <c r="D72" s="10" t="inlineStr">
        <is>
          <t>Top 10 - Sector</t>
        </is>
      </c>
      <c r="E72" s="10" t="inlineStr">
        <is>
          <t>Top 10 - 3Y</t>
        </is>
      </c>
      <c r="F72" t="inlineStr"/>
      <c r="G72" s="10" t="inlineStr">
        <is>
          <t>Bottom 10 - Rank</t>
        </is>
      </c>
      <c r="H72" s="10" t="inlineStr">
        <is>
          <t>Bottom 10 - Ticker</t>
        </is>
      </c>
      <c r="I72" s="10" t="inlineStr">
        <is>
          <t>Bottom 10 - Subgroup Name</t>
        </is>
      </c>
      <c r="J72" s="10" t="inlineStr">
        <is>
          <t>Bottom 10 - Sector</t>
        </is>
      </c>
      <c r="K72" s="10" t="inlineStr">
        <is>
          <t>Bottom 10 - 3Y</t>
        </is>
      </c>
    </row>
    <row r="73">
      <c r="A73" t="n">
        <v>1</v>
      </c>
      <c r="B73" t="inlineStr">
        <is>
          <t>SIL</t>
        </is>
      </c>
      <c r="C73" t="inlineStr">
        <is>
          <t>Silver Miners</t>
        </is>
      </c>
      <c r="D73" t="inlineStr">
        <is>
          <t>Materials</t>
        </is>
      </c>
      <c r="E73" s="11" t="n">
        <v>3.047451187585888</v>
      </c>
      <c r="F73" t="inlineStr"/>
      <c r="G73" t="n">
        <v>52</v>
      </c>
      <c r="H73" t="inlineStr">
        <is>
          <t>TAN</t>
        </is>
      </c>
      <c r="I73" t="inlineStr">
        <is>
          <t>Solar Energy</t>
        </is>
      </c>
      <c r="J73" t="inlineStr">
        <is>
          <t>Energy</t>
        </is>
      </c>
      <c r="K73" s="11" t="n">
        <v>-0.1782157586395819</v>
      </c>
    </row>
    <row r="74">
      <c r="A74" t="n">
        <v>2</v>
      </c>
      <c r="B74" t="inlineStr">
        <is>
          <t>GDX</t>
        </is>
      </c>
      <c r="C74" t="inlineStr">
        <is>
          <t>Gold Miners</t>
        </is>
      </c>
      <c r="D74" t="inlineStr">
        <is>
          <t>Materials</t>
        </is>
      </c>
      <c r="E74" s="11" t="n">
        <v>2.613803632752981</v>
      </c>
      <c r="F74" t="inlineStr"/>
      <c r="G74" t="n">
        <v>53</v>
      </c>
      <c r="H74" t="inlineStr">
        <is>
          <t>WOOD</t>
        </is>
      </c>
      <c r="I74" t="inlineStr">
        <is>
          <t>Timber &amp; Forestry</t>
        </is>
      </c>
      <c r="J74" t="inlineStr">
        <is>
          <t>Materials</t>
        </is>
      </c>
      <c r="K74" s="11" t="n">
        <v>0.004444976229975861</v>
      </c>
    </row>
    <row r="75">
      <c r="A75" t="n">
        <v>3</v>
      </c>
      <c r="B75" t="inlineStr">
        <is>
          <t>SMH</t>
        </is>
      </c>
      <c r="C75" t="inlineStr">
        <is>
          <t>Semiconductor Manufacturers</t>
        </is>
      </c>
      <c r="D75" t="inlineStr">
        <is>
          <t>Technology</t>
        </is>
      </c>
      <c r="E75" s="11" t="n">
        <v>2.58576482180878</v>
      </c>
      <c r="F75" t="inlineStr"/>
      <c r="G75" t="n">
        <v>54</v>
      </c>
      <c r="H75" t="inlineStr">
        <is>
          <t>IHI</t>
        </is>
      </c>
      <c r="I75" t="inlineStr">
        <is>
          <t>Medical Devices &amp; Equipment</t>
        </is>
      </c>
      <c r="J75" t="inlineStr">
        <is>
          <t>Health Care</t>
        </is>
      </c>
      <c r="K75" s="11" t="n">
        <v>0.0401647666780629</v>
      </c>
    </row>
    <row r="76">
      <c r="A76" t="n">
        <v>4</v>
      </c>
      <c r="B76" t="inlineStr">
        <is>
          <t>BDRY</t>
        </is>
      </c>
      <c r="C76" t="inlineStr">
        <is>
          <t>Dry Bulk Shipping &amp; Maritime Freight</t>
        </is>
      </c>
      <c r="D76" t="inlineStr">
        <is>
          <t>Industrials</t>
        </is>
      </c>
      <c r="E76" s="11" t="n">
        <v>2.320987437499749</v>
      </c>
      <c r="F76" t="inlineStr"/>
      <c r="G76" t="n">
        <v>55</v>
      </c>
      <c r="H76" t="inlineStr">
        <is>
          <t>AWAY</t>
        </is>
      </c>
      <c r="I76" t="inlineStr">
        <is>
          <t>Travel Tech &amp; Bookings</t>
        </is>
      </c>
      <c r="J76" t="inlineStr">
        <is>
          <t>Consumer Discretionary</t>
        </is>
      </c>
      <c r="K76" s="11" t="n">
        <v>0.05297341282133794</v>
      </c>
    </row>
    <row r="77">
      <c r="A77" t="n">
        <v>5</v>
      </c>
      <c r="B77" t="inlineStr">
        <is>
          <t>COPX</t>
        </is>
      </c>
      <c r="C77" t="inlineStr">
        <is>
          <t>Copper Miners</t>
        </is>
      </c>
      <c r="D77" t="inlineStr">
        <is>
          <t>Materials</t>
        </is>
      </c>
      <c r="E77" s="11" t="n">
        <v>1.527976083787906</v>
      </c>
      <c r="F77" t="inlineStr"/>
      <c r="G77" t="n">
        <v>56</v>
      </c>
      <c r="H77" t="inlineStr">
        <is>
          <t>ITB</t>
        </is>
      </c>
      <c r="I77" t="inlineStr">
        <is>
          <t>Home Construction</t>
        </is>
      </c>
      <c r="J77" t="inlineStr">
        <is>
          <t>Consumer Discretionary</t>
        </is>
      </c>
      <c r="K77" s="11" t="n">
        <v>0.1000414253735029</v>
      </c>
    </row>
    <row r="78">
      <c r="A78" t="n">
        <v>6</v>
      </c>
      <c r="B78" t="inlineStr">
        <is>
          <t>NXTG</t>
        </is>
      </c>
      <c r="C78" t="inlineStr">
        <is>
          <t>NextGen 5G &amp; Telecom Infrastructure</t>
        </is>
      </c>
      <c r="D78" t="inlineStr">
        <is>
          <t>Communication</t>
        </is>
      </c>
      <c r="E78" s="11" t="n">
        <v>1.277816190694107</v>
      </c>
      <c r="F78" t="inlineStr"/>
      <c r="G78" t="n">
        <v>57</v>
      </c>
      <c r="H78" t="inlineStr">
        <is>
          <t>PBJ</t>
        </is>
      </c>
      <c r="I78" t="inlineStr">
        <is>
          <t>Food &amp; Beverage Manufacturers</t>
        </is>
      </c>
      <c r="J78" t="inlineStr">
        <is>
          <t>Consumer Staples</t>
        </is>
      </c>
      <c r="K78" s="11" t="n">
        <v>0.1398749373105197</v>
      </c>
    </row>
    <row r="79">
      <c r="A79" t="n">
        <v>7</v>
      </c>
      <c r="B79" t="inlineStr">
        <is>
          <t>XME</t>
        </is>
      </c>
      <c r="C79" t="inlineStr">
        <is>
          <t>Metals &amp; Mining</t>
        </is>
      </c>
      <c r="D79" t="inlineStr">
        <is>
          <t>Materials</t>
        </is>
      </c>
      <c r="E79" s="11" t="n">
        <v>1.265548457238499</v>
      </c>
      <c r="F79" t="inlineStr"/>
      <c r="G79" t="n">
        <v>58</v>
      </c>
      <c r="H79" t="inlineStr">
        <is>
          <t>ICLN</t>
        </is>
      </c>
      <c r="I79" t="inlineStr">
        <is>
          <t>Clean &amp; Renewable Energy</t>
        </is>
      </c>
      <c r="J79" t="inlineStr">
        <is>
          <t>Energy</t>
        </is>
      </c>
      <c r="K79" s="11" t="n">
        <v>0.1477961925966675</v>
      </c>
    </row>
    <row r="80">
      <c r="A80" t="n">
        <v>8</v>
      </c>
      <c r="B80" t="inlineStr">
        <is>
          <t>XSD</t>
        </is>
      </c>
      <c r="C80" t="inlineStr">
        <is>
          <t>Semiconductors - Equal Weight</t>
        </is>
      </c>
      <c r="D80" t="inlineStr">
        <is>
          <t>Technology</t>
        </is>
      </c>
      <c r="E80" s="11" t="n">
        <v>1.250607285241203</v>
      </c>
      <c r="F80" t="inlineStr"/>
      <c r="G80" t="n">
        <v>59</v>
      </c>
      <c r="H80" t="inlineStr">
        <is>
          <t>BETZ</t>
        </is>
      </c>
      <c r="I80" t="inlineStr">
        <is>
          <t>Casinos, Gaming &amp; Sports Betting</t>
        </is>
      </c>
      <c r="J80" t="inlineStr">
        <is>
          <t>Consumer Discretionary</t>
        </is>
      </c>
      <c r="K80" s="11" t="n">
        <v>0.1725455205392559</v>
      </c>
    </row>
    <row r="81">
      <c r="A81" t="n">
        <v>9</v>
      </c>
      <c r="B81" t="inlineStr">
        <is>
          <t>IAI</t>
        </is>
      </c>
      <c r="C81" t="inlineStr">
        <is>
          <t>Broker-Dealers &amp; Securities Exchanges</t>
        </is>
      </c>
      <c r="D81" t="inlineStr">
        <is>
          <t>Financials</t>
        </is>
      </c>
      <c r="E81" s="11" t="n">
        <v>1.159796767058759</v>
      </c>
      <c r="F81" t="inlineStr"/>
      <c r="G81" t="n">
        <v>60</v>
      </c>
      <c r="H81" t="inlineStr">
        <is>
          <t>BIZD</t>
        </is>
      </c>
      <c r="I81" t="inlineStr">
        <is>
          <t>Business Development Companies (BDCs)</t>
        </is>
      </c>
      <c r="J81" t="inlineStr">
        <is>
          <t>Financials</t>
        </is>
      </c>
      <c r="K81" s="11" t="n">
        <v>0.177073087138198</v>
      </c>
    </row>
    <row r="82">
      <c r="A82" t="n">
        <v>10</v>
      </c>
      <c r="B82" t="inlineStr">
        <is>
          <t>URA</t>
        </is>
      </c>
      <c r="C82" t="inlineStr">
        <is>
          <t>Uranium &amp; Nuclear Energy</t>
        </is>
      </c>
      <c r="D82" t="inlineStr">
        <is>
          <t>Energy</t>
        </is>
      </c>
      <c r="E82" s="11" t="n">
        <v>1.147309231750509</v>
      </c>
      <c r="F82" t="inlineStr"/>
      <c r="G82" t="n">
        <v>61</v>
      </c>
      <c r="H82" t="inlineStr">
        <is>
          <t>IHF</t>
        </is>
      </c>
      <c r="I82" t="inlineStr">
        <is>
          <t>Health Care Providers &amp; Managed Care</t>
        </is>
      </c>
      <c r="J82" t="inlineStr">
        <is>
          <t>Health Care</t>
        </is>
      </c>
      <c r="K82" s="11" t="n">
        <v>0.2083776046495234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2026-09-04T08:28:34Z</dcterms:created>
  <dcterms:modified xmlns:dcterms="http://purl.org/dc/terms/" xmlns:xsi="http://www.w3.org/2001/XMLSchema-instance" xsi:type="dcterms:W3CDTF">2026-09-04T08:28:34Z</dcterms:modified>
</cp:coreProperties>
</file>