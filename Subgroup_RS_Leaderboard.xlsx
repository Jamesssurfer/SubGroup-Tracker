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bgroup_RS_Leaderboard" sheetId="1" state="visible" r:id="rId1"/>
    <sheet xmlns:r="http://schemas.openxmlformats.org/officeDocument/2006/relationships" name="Top_and_Last_10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$#,##0.00"/>
  </numFmts>
  <fonts count="4">
    <font>
      <name val="Calibri"/>
      <family val="2"/>
      <color theme="1"/>
      <sz val="11"/>
      <scheme val="minor"/>
    </font>
    <font>
      <b val="1"/>
    </font>
    <font>
      <name val="Calibri"/>
      <b val="1"/>
      <color rgb="00FFFFFF"/>
      <sz val="11"/>
    </font>
    <font>
      <b val="1"/>
      <color rgb="001F4E79"/>
      <sz val="12"/>
    </font>
  </fonts>
  <fills count="5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C6EFCE"/>
      </patternFill>
    </fill>
    <fill>
      <patternFill patternType="solid">
        <fgColor rgb="00FFC7CE"/>
      </patternFill>
    </fill>
  </fills>
  <borders count="3">
    <border>
      <left/>
      <right/>
      <top/>
      <bottom/>
      <diagonal/>
    </border>
    <border>
      <left style="thin"/>
      <right style="thin"/>
      <top style="thin"/>
      <bottom style="thin"/>
    </border>
    <border>
      <left style="thin">
        <color rgb="00E0E0E0"/>
      </left>
      <right style="thin">
        <color rgb="00E0E0E0"/>
      </right>
      <top style="thin">
        <color rgb="00E0E0E0"/>
      </top>
      <bottom style="thin">
        <color rgb="00E0E0E0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2" fillId="2" borderId="1" applyAlignment="1" pivotButton="0" quotePrefix="0" xfId="0">
      <alignment horizontal="center" vertical="center"/>
    </xf>
    <xf numFmtId="0" fontId="0" fillId="0" borderId="2" pivotButton="0" quotePrefix="0" xfId="0"/>
    <xf numFmtId="1" fontId="1" fillId="3" borderId="2" pivotButton="0" quotePrefix="0" xfId="0"/>
    <xf numFmtId="164" fontId="0" fillId="0" borderId="2" pivotButton="0" quotePrefix="0" xfId="0"/>
    <xf numFmtId="10" fontId="0" fillId="0" borderId="2" pivotButton="0" quotePrefix="0" xfId="0"/>
    <xf numFmtId="1" fontId="1" fillId="0" borderId="2" pivotButton="0" quotePrefix="0" xfId="0"/>
    <xf numFmtId="1" fontId="1" fillId="4" borderId="2" pivotButton="0" quotePrefix="0" xfId="0"/>
    <xf numFmtId="0" fontId="3" fillId="0" borderId="0" pivotButton="0" quotePrefix="0" xfId="0"/>
    <xf numFmtId="0" fontId="2" fillId="2" borderId="0" pivotButton="0" quotePrefix="0" xfId="0"/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62"/>
  <sheetViews>
    <sheetView workbookViewId="0">
      <pane xSplit="5" ySplit="1" topLeftCell="F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6" customWidth="1" min="2" max="2"/>
    <col width="12" customWidth="1" min="3" max="3"/>
    <col width="42" customWidth="1" min="4" max="4"/>
    <col width="25" customWidth="1" min="5" max="5"/>
    <col width="15" customWidth="1" min="6" max="6"/>
    <col width="25" customWidth="1" min="7" max="7"/>
    <col width="24" customWidth="1" min="8" max="8"/>
    <col width="24" customWidth="1" min="9" max="9"/>
    <col width="24" customWidth="1" min="10" max="10"/>
    <col width="25" customWidth="1" min="11" max="11"/>
    <col width="24" customWidth="1" min="12" max="12"/>
    <col width="24" customWidth="1" min="13" max="13"/>
    <col width="24" customWidth="1" min="14" max="14"/>
    <col width="24" customWidth="1" min="15" max="15"/>
    <col width="24" customWidth="1" min="16" max="16"/>
  </cols>
  <sheetData>
    <row r="1">
      <c r="A1" s="2" t="inlineStr">
        <is>
          <t>IBD_Rank</t>
        </is>
      </c>
      <c r="B1" s="2" t="inlineStr">
        <is>
          <t>IBD_RS_Rating</t>
        </is>
      </c>
      <c r="C1" s="2" t="inlineStr">
        <is>
          <t>Ticker</t>
        </is>
      </c>
      <c r="D1" s="2" t="inlineStr">
        <is>
          <t>Subgroup Name</t>
        </is>
      </c>
      <c r="E1" s="2" t="inlineStr">
        <is>
          <t>Sector</t>
        </is>
      </c>
      <c r="F1" s="2" t="inlineStr">
        <is>
          <t>Latest Price</t>
        </is>
      </c>
      <c r="G1" s="2" t="inlineStr">
        <is>
          <t>1D</t>
        </is>
      </c>
      <c r="H1" s="2" t="inlineStr">
        <is>
          <t>1W</t>
        </is>
      </c>
      <c r="I1" s="2" t="inlineStr">
        <is>
          <t>2W</t>
        </is>
      </c>
      <c r="J1" s="2" t="inlineStr">
        <is>
          <t>1M</t>
        </is>
      </c>
      <c r="K1" s="2" t="inlineStr">
        <is>
          <t>3M</t>
        </is>
      </c>
      <c r="L1" s="2" t="inlineStr">
        <is>
          <t>6M</t>
        </is>
      </c>
      <c r="M1" s="2" t="inlineStr">
        <is>
          <t>9M</t>
        </is>
      </c>
      <c r="N1" s="2" t="inlineStr">
        <is>
          <t>1Y</t>
        </is>
      </c>
      <c r="O1" s="2" t="inlineStr">
        <is>
          <t>3Y</t>
        </is>
      </c>
      <c r="P1" s="2" t="inlineStr">
        <is>
          <t>3Y (Ann.)</t>
        </is>
      </c>
    </row>
    <row r="2">
      <c r="A2" s="3" t="n">
        <v>1</v>
      </c>
      <c r="B2" s="4" t="n">
        <v>99</v>
      </c>
      <c r="C2" s="3" t="inlineStr">
        <is>
          <t>HACK</t>
        </is>
      </c>
      <c r="D2" s="3" t="inlineStr">
        <is>
          <t>Cybersecurity</t>
        </is>
      </c>
      <c r="E2" s="3" t="inlineStr">
        <is>
          <t>Technology</t>
        </is>
      </c>
      <c r="F2" s="5" t="n">
        <v>131.41</v>
      </c>
      <c r="G2" s="6" t="n">
        <v>0.02800595931920702</v>
      </c>
      <c r="H2" s="6" t="n">
        <v>0.1134554092518663</v>
      </c>
      <c r="I2" s="6" t="n">
        <v>0.0327727591036624</v>
      </c>
      <c r="J2" s="6" t="n">
        <v>0.1103507000960717</v>
      </c>
      <c r="K2" s="6" t="n">
        <v>0.2493820429818239</v>
      </c>
      <c r="L2" s="6" t="n">
        <v>0.670820103148636</v>
      </c>
      <c r="M2" s="6" t="n">
        <v>0.6383244628106248</v>
      </c>
      <c r="N2" s="6" t="n">
        <v>0.4891509382577419</v>
      </c>
      <c r="O2" s="6" t="n">
        <v>1.628204685112591</v>
      </c>
      <c r="P2" s="6" t="n">
        <v>0.380023223916486</v>
      </c>
    </row>
    <row r="3">
      <c r="A3" s="3" t="n">
        <v>2</v>
      </c>
      <c r="B3" s="4" t="n">
        <v>97</v>
      </c>
      <c r="C3" s="3" t="inlineStr">
        <is>
          <t>IDNA</t>
        </is>
      </c>
      <c r="D3" s="3" t="inlineStr">
        <is>
          <t>Genomics &amp; Immunology</t>
        </is>
      </c>
      <c r="E3" s="3" t="inlineStr">
        <is>
          <t>Health Care</t>
        </is>
      </c>
      <c r="F3" s="5" t="n">
        <v>40.95</v>
      </c>
      <c r="G3" s="6" t="n">
        <v>0.000977778432572407</v>
      </c>
      <c r="H3" s="6" t="n">
        <v>-0.000244099652262797</v>
      </c>
      <c r="I3" s="6" t="n">
        <v>-0.01467758879198655</v>
      </c>
      <c r="J3" s="6" t="n">
        <v>-0.01963130681919367</v>
      </c>
      <c r="K3" s="6" t="n">
        <v>0.2784889891849816</v>
      </c>
      <c r="L3" s="6" t="n">
        <v>0.3716700753557529</v>
      </c>
      <c r="M3" s="6" t="n">
        <v>0.3973043556303808</v>
      </c>
      <c r="N3" s="6" t="n">
        <v>0.6618970274702762</v>
      </c>
      <c r="O3" s="6" t="n">
        <v>1.352687835047931</v>
      </c>
      <c r="P3" s="6" t="n">
        <v>0.3300095793396636</v>
      </c>
    </row>
    <row r="4">
      <c r="A4" s="3" t="n">
        <v>3</v>
      </c>
      <c r="B4" s="4" t="n">
        <v>96</v>
      </c>
      <c r="C4" s="3" t="inlineStr">
        <is>
          <t>CIBR</t>
        </is>
      </c>
      <c r="D4" s="3" t="inlineStr">
        <is>
          <t>Cybersecurity Leaders</t>
        </is>
      </c>
      <c r="E4" s="3" t="inlineStr">
        <is>
          <t>Technology</t>
        </is>
      </c>
      <c r="F4" s="5" t="n">
        <v>108.43</v>
      </c>
      <c r="G4" s="6" t="n">
        <v>0.0217677864569048</v>
      </c>
      <c r="H4" s="6" t="n">
        <v>0.08516815744773831</v>
      </c>
      <c r="I4" s="6" t="n">
        <v>0.005844130200214348</v>
      </c>
      <c r="J4" s="6" t="n">
        <v>0.07409612266525034</v>
      </c>
      <c r="K4" s="6" t="n">
        <v>0.2266190511987687</v>
      </c>
      <c r="L4" s="6" t="n">
        <v>0.6140150622540232</v>
      </c>
      <c r="M4" s="6" t="n">
        <v>0.5080468890678371</v>
      </c>
      <c r="N4" s="6" t="n">
        <v>0.4070004627256381</v>
      </c>
      <c r="O4" s="6" t="n">
        <v>1.512055878387407</v>
      </c>
      <c r="P4" s="6" t="n">
        <v>0.3593869566867824</v>
      </c>
    </row>
    <row r="5">
      <c r="A5" s="3" t="n">
        <v>4</v>
      </c>
      <c r="B5" s="4" t="n">
        <v>94</v>
      </c>
      <c r="C5" s="3" t="inlineStr">
        <is>
          <t>CLOU</t>
        </is>
      </c>
      <c r="D5" s="3" t="inlineStr">
        <is>
          <t>Cloud Computing &amp; SaaS</t>
        </is>
      </c>
      <c r="E5" s="3" t="inlineStr">
        <is>
          <t>Technology</t>
        </is>
      </c>
      <c r="F5" s="5" t="n">
        <v>30.64</v>
      </c>
      <c r="G5" s="6" t="n">
        <v>0.01088749355066332</v>
      </c>
      <c r="H5" s="6" t="n">
        <v>0.07057996125723198</v>
      </c>
      <c r="I5" s="6" t="n">
        <v>0.02956986404565187</v>
      </c>
      <c r="J5" s="6" t="n">
        <v>0.07925325989335508</v>
      </c>
      <c r="K5" s="6" t="n">
        <v>0.3281317639775503</v>
      </c>
      <c r="L5" s="6" t="n">
        <v>0.5537525586473455</v>
      </c>
      <c r="M5" s="6" t="n">
        <v>0.3958996958843501</v>
      </c>
      <c r="N5" s="6" t="n">
        <v>0.2782645084423454</v>
      </c>
      <c r="O5" s="6" t="n">
        <v>0.7448747335713031</v>
      </c>
      <c r="P5" s="6" t="n">
        <v>0.2038935416083312</v>
      </c>
    </row>
    <row r="6">
      <c r="A6" s="3" t="n">
        <v>5</v>
      </c>
      <c r="B6" s="4" t="n">
        <v>93</v>
      </c>
      <c r="C6" s="3" t="inlineStr">
        <is>
          <t>XOP</t>
        </is>
      </c>
      <c r="D6" s="3" t="inlineStr">
        <is>
          <t>Oil &amp; Gas Exploration &amp; Production</t>
        </is>
      </c>
      <c r="E6" s="3" t="inlineStr">
        <is>
          <t>Energy</t>
        </is>
      </c>
      <c r="F6" s="5" t="n">
        <v>204.86</v>
      </c>
      <c r="G6" s="6" t="n">
        <v>0.01571718047782888</v>
      </c>
      <c r="H6" s="6" t="n">
        <v>0.02702160403400544</v>
      </c>
      <c r="I6" s="6" t="n">
        <v>0.05440325127116652</v>
      </c>
      <c r="J6" s="6" t="n">
        <v>0.1287052375225981</v>
      </c>
      <c r="K6" s="6" t="n">
        <v>0.1817112392661364</v>
      </c>
      <c r="L6" s="6" t="n">
        <v>0.2299013299917196</v>
      </c>
      <c r="M6" s="6" t="n">
        <v>0.5395474346638338</v>
      </c>
      <c r="N6" s="6" t="n">
        <v>0.6272032523448827</v>
      </c>
      <c r="O6" s="6" t="n">
        <v>0.5059773223502781</v>
      </c>
      <c r="P6" s="6" t="n">
        <v>0.1462327442143043</v>
      </c>
    </row>
    <row r="7">
      <c r="A7" s="3" t="n">
        <v>6</v>
      </c>
      <c r="B7" s="4" t="n">
        <v>91</v>
      </c>
      <c r="C7" s="3" t="inlineStr">
        <is>
          <t>FCG</t>
        </is>
      </c>
      <c r="D7" s="3" t="inlineStr">
        <is>
          <t>Natural Gas Producers</t>
        </is>
      </c>
      <c r="E7" s="3" t="inlineStr">
        <is>
          <t>Energy</t>
        </is>
      </c>
      <c r="F7" s="5" t="n">
        <v>32.44</v>
      </c>
      <c r="G7" s="6" t="n">
        <v>0.009962630929808647</v>
      </c>
      <c r="H7" s="6" t="n">
        <v>0.03246335289428015</v>
      </c>
      <c r="I7" s="6" t="n">
        <v>0.07133414435542296</v>
      </c>
      <c r="J7" s="6" t="n">
        <v>0.1109588280518721</v>
      </c>
      <c r="K7" s="6" t="n">
        <v>0.1209555436540488</v>
      </c>
      <c r="L7" s="6" t="n">
        <v>0.1012887120623667</v>
      </c>
      <c r="M7" s="6" t="n">
        <v>0.3416507005526925</v>
      </c>
      <c r="N7" s="6" t="n">
        <v>0.4704329147860715</v>
      </c>
      <c r="O7" s="6" t="n">
        <v>0.3421040379667386</v>
      </c>
      <c r="P7" s="6" t="n">
        <v>0.1030504962369696</v>
      </c>
    </row>
    <row r="8">
      <c r="A8" s="3" t="n">
        <v>7</v>
      </c>
      <c r="B8" s="4" t="n">
        <v>89</v>
      </c>
      <c r="C8" s="3" t="inlineStr">
        <is>
          <t>IBB</t>
        </is>
      </c>
      <c r="D8" s="3" t="inlineStr">
        <is>
          <t>Biotechnology (Market Weight)</t>
        </is>
      </c>
      <c r="E8" s="3" t="inlineStr">
        <is>
          <t>Health Care</t>
        </is>
      </c>
      <c r="F8" s="5" t="n">
        <v>208.69</v>
      </c>
      <c r="G8" s="6" t="n">
        <v>0.004573009161075836</v>
      </c>
      <c r="H8" s="6" t="n">
        <v>0.02268942927671569</v>
      </c>
      <c r="I8" s="6" t="n">
        <v>0.02168808407767808</v>
      </c>
      <c r="J8" s="6" t="n">
        <v>-0.005148504595785419</v>
      </c>
      <c r="K8" s="6" t="n">
        <v>0.1092868358898491</v>
      </c>
      <c r="L8" s="6" t="n">
        <v>0.2294178455918177</v>
      </c>
      <c r="M8" s="6" t="n">
        <v>0.1878477549137318</v>
      </c>
      <c r="N8" s="6" t="n">
        <v>0.3476988464842954</v>
      </c>
      <c r="O8" s="6" t="n">
        <v>0.8269653120314187</v>
      </c>
      <c r="P8" s="6" t="n">
        <v>0.2224847041006257</v>
      </c>
    </row>
    <row r="9">
      <c r="A9" s="3" t="n">
        <v>8</v>
      </c>
      <c r="B9" s="4" t="n">
        <v>88</v>
      </c>
      <c r="C9" s="3" t="inlineStr">
        <is>
          <t>IGV</t>
        </is>
      </c>
      <c r="D9" s="3" t="inlineStr">
        <is>
          <t>Software &amp; Cloud Applications</t>
        </is>
      </c>
      <c r="E9" s="3" t="inlineStr">
        <is>
          <t>Technology</t>
        </is>
      </c>
      <c r="F9" s="5" t="n">
        <v>111.39</v>
      </c>
      <c r="G9" s="6" t="n">
        <v>0.007233954952973631</v>
      </c>
      <c r="H9" s="6" t="n">
        <v>0.05094821808393291</v>
      </c>
      <c r="I9" s="6" t="n">
        <v>0.0009885029794951539</v>
      </c>
      <c r="J9" s="6" t="n">
        <v>0.05074990232057797</v>
      </c>
      <c r="K9" s="6" t="n">
        <v>0.26608314548183</v>
      </c>
      <c r="L9" s="6" t="n">
        <v>0.3076394857934548</v>
      </c>
      <c r="M9" s="6" t="n">
        <v>0.1275264511078869</v>
      </c>
      <c r="N9" s="6" t="n">
        <v>-0.0395613538714793</v>
      </c>
      <c r="O9" s="6" t="n">
        <v>0.6914779118978356</v>
      </c>
      <c r="P9" s="6" t="n">
        <v>0.1914855425024331</v>
      </c>
    </row>
    <row r="10">
      <c r="A10" s="3" t="n">
        <v>9</v>
      </c>
      <c r="B10" s="4" t="n">
        <v>86</v>
      </c>
      <c r="C10" s="3" t="inlineStr">
        <is>
          <t>SMH</t>
        </is>
      </c>
      <c r="D10" s="3" t="inlineStr">
        <is>
          <t>Semiconductor Manufacturers</t>
        </is>
      </c>
      <c r="E10" s="3" t="inlineStr">
        <is>
          <t>Technology</t>
        </is>
      </c>
      <c r="F10" s="5" t="n">
        <v>541.62</v>
      </c>
      <c r="G10" s="6" t="n">
        <v>0.02735201550885691</v>
      </c>
      <c r="H10" s="6" t="n">
        <v>-0.01247133169500136</v>
      </c>
      <c r="I10" s="6" t="n">
        <v>-0.08353778563594338</v>
      </c>
      <c r="J10" s="6" t="n">
        <v>-0.1070627847249901</v>
      </c>
      <c r="K10" s="6" t="n">
        <v>-0.03487233778057552</v>
      </c>
      <c r="L10" s="6" t="n">
        <v>0.06946527230508703</v>
      </c>
      <c r="M10" s="6" t="n">
        <v>0.3580562288011799</v>
      </c>
      <c r="N10" s="6" t="n">
        <v>0.5472610744202611</v>
      </c>
      <c r="O10" s="6" t="n">
        <v>2.993908704377731</v>
      </c>
      <c r="P10" s="6" t="n">
        <v>0.5865948651795514</v>
      </c>
    </row>
    <row r="11">
      <c r="A11" s="3" t="n">
        <v>10</v>
      </c>
      <c r="B11" s="4" t="n">
        <v>85</v>
      </c>
      <c r="C11" s="3" t="inlineStr">
        <is>
          <t>NXTG</t>
        </is>
      </c>
      <c r="D11" s="3" t="inlineStr">
        <is>
          <t>NextGen 5G &amp; Telecom Infrastructure</t>
        </is>
      </c>
      <c r="E11" s="3" t="inlineStr">
        <is>
          <t>Communication</t>
        </is>
      </c>
      <c r="F11" s="5" t="n">
        <v>148.72</v>
      </c>
      <c r="G11" s="6" t="n">
        <v>0.007724619701207747</v>
      </c>
      <c r="H11" s="6" t="n">
        <v>0.002223881881609602</v>
      </c>
      <c r="I11" s="6" t="n">
        <v>-0.0284818432074716</v>
      </c>
      <c r="J11" s="6" t="n">
        <v>-0.050137355408435</v>
      </c>
      <c r="K11" s="6" t="n">
        <v>0.0293177449097346</v>
      </c>
      <c r="L11" s="6" t="n">
        <v>0.1361799438794478</v>
      </c>
      <c r="M11" s="6" t="n">
        <v>0.3245454436735022</v>
      </c>
      <c r="N11" s="6" t="n">
        <v>0.3850522010382653</v>
      </c>
      <c r="O11" s="6" t="n">
        <v>1.423609325132138</v>
      </c>
      <c r="P11" s="6" t="n">
        <v>0.3432418213506592</v>
      </c>
    </row>
    <row r="12">
      <c r="A12" s="3" t="n">
        <v>11</v>
      </c>
      <c r="B12" s="4" t="n">
        <v>83</v>
      </c>
      <c r="C12" s="3" t="inlineStr">
        <is>
          <t>IHF</t>
        </is>
      </c>
      <c r="D12" s="3" t="inlineStr">
        <is>
          <t>Health Care Providers &amp; Managed Care</t>
        </is>
      </c>
      <c r="E12" s="3" t="inlineStr">
        <is>
          <t>Health Care</t>
        </is>
      </c>
      <c r="F12" s="5" t="n">
        <v>59.84</v>
      </c>
      <c r="G12" s="6" t="n">
        <v>-0.008943373732606674</v>
      </c>
      <c r="H12" s="6" t="n">
        <v>0.01682245886382039</v>
      </c>
      <c r="I12" s="6" t="n">
        <v>0.04670285235539717</v>
      </c>
      <c r="J12" s="6" t="n">
        <v>0.07124954347921686</v>
      </c>
      <c r="K12" s="6" t="n">
        <v>0.06173477154122242</v>
      </c>
      <c r="L12" s="6" t="n">
        <v>0.2871442274318732</v>
      </c>
      <c r="M12" s="6" t="n">
        <v>0.2039793102209664</v>
      </c>
      <c r="N12" s="6" t="n">
        <v>0.1836927944337068</v>
      </c>
      <c r="O12" s="6" t="n">
        <v>0.2542152384298269</v>
      </c>
      <c r="P12" s="6" t="n">
        <v>0.07842684726228377</v>
      </c>
    </row>
    <row r="13">
      <c r="A13" s="3" t="n">
        <v>12</v>
      </c>
      <c r="B13" s="4" t="n">
        <v>81</v>
      </c>
      <c r="C13" s="3" t="inlineStr">
        <is>
          <t>BDRY</t>
        </is>
      </c>
      <c r="D13" s="3" t="inlineStr">
        <is>
          <t>Dry Bulk Shipping &amp; Maritime Freight</t>
        </is>
      </c>
      <c r="E13" s="3" t="inlineStr">
        <is>
          <t>Industrials</t>
        </is>
      </c>
      <c r="F13" s="5" t="n">
        <v>12.32</v>
      </c>
      <c r="G13" s="6" t="n">
        <v>-0.02299761853676707</v>
      </c>
      <c r="H13" s="6" t="n">
        <v>-0.0486486582023099</v>
      </c>
      <c r="I13" s="6" t="n">
        <v>-0.09743589456958968</v>
      </c>
      <c r="J13" s="6" t="n">
        <v>-0.195822458208895</v>
      </c>
      <c r="K13" s="6" t="n">
        <v>-0.01988862419009751</v>
      </c>
      <c r="L13" s="6" t="n">
        <v>0.1302752409165142</v>
      </c>
      <c r="M13" s="6" t="n">
        <v>0.122040091844573</v>
      </c>
      <c r="N13" s="6" t="n">
        <v>0.5694267317829829</v>
      </c>
      <c r="O13" s="6" t="n">
        <v>1.37837839828184</v>
      </c>
      <c r="P13" s="6" t="n">
        <v>0.3348331508447266</v>
      </c>
    </row>
    <row r="14">
      <c r="A14" s="3" t="n">
        <v>13</v>
      </c>
      <c r="B14" s="4" t="n">
        <v>80</v>
      </c>
      <c r="C14" s="3" t="inlineStr">
        <is>
          <t>XBI</t>
        </is>
      </c>
      <c r="D14" s="3" t="inlineStr">
        <is>
          <t>Biotechnology (Equal Weight)</t>
        </is>
      </c>
      <c r="E14" s="3" t="inlineStr">
        <is>
          <t>Health Care</t>
        </is>
      </c>
      <c r="F14" s="5" t="n">
        <v>150.47</v>
      </c>
      <c r="G14" s="6" t="n">
        <v>0.006219125159319772</v>
      </c>
      <c r="H14" s="6" t="n">
        <v>0.01765183686986149</v>
      </c>
      <c r="I14" s="6" t="n">
        <v>-0.006142620299027901</v>
      </c>
      <c r="J14" s="6" t="n">
        <v>-0.02941364635553811</v>
      </c>
      <c r="K14" s="6" t="n">
        <v>-6.641751142810737e-05</v>
      </c>
      <c r="L14" s="6" t="n">
        <v>0.1300848766776161</v>
      </c>
      <c r="M14" s="6" t="n">
        <v>0.1779892657165498</v>
      </c>
      <c r="N14" s="6" t="n">
        <v>0.3941876248836964</v>
      </c>
      <c r="O14" s="6" t="n">
        <v>1.288012957948501</v>
      </c>
      <c r="P14" s="6" t="n">
        <v>0.3177089424842658</v>
      </c>
    </row>
    <row r="15">
      <c r="A15" s="3" t="n">
        <v>14</v>
      </c>
      <c r="B15" s="7" t="n">
        <v>78</v>
      </c>
      <c r="C15" s="3" t="inlineStr">
        <is>
          <t>OIH</t>
        </is>
      </c>
      <c r="D15" s="3" t="inlineStr">
        <is>
          <t>Oil Services &amp; Equipment</t>
        </is>
      </c>
      <c r="E15" s="3" t="inlineStr">
        <is>
          <t>Energy</t>
        </is>
      </c>
      <c r="F15" s="5" t="n">
        <v>402.4</v>
      </c>
      <c r="G15" s="6" t="n">
        <v>0.01268373447432758</v>
      </c>
      <c r="H15" s="6" t="n">
        <v>0.04486912909842244</v>
      </c>
      <c r="I15" s="6" t="n">
        <v>0.03524564255006046</v>
      </c>
      <c r="J15" s="6" t="n">
        <v>0.02214997303122934</v>
      </c>
      <c r="K15" s="6" t="n">
        <v>0.02742171815848859</v>
      </c>
      <c r="L15" s="6" t="n">
        <v>-0.07968163277840901</v>
      </c>
      <c r="M15" s="6" t="n">
        <v>0.165498414281017</v>
      </c>
      <c r="N15" s="6" t="n">
        <v>0.4781889425083481</v>
      </c>
      <c r="O15" s="6" t="n">
        <v>0.3006873621714654</v>
      </c>
      <c r="P15" s="6" t="n">
        <v>0.09158520357487632</v>
      </c>
    </row>
    <row r="16">
      <c r="A16" s="3" t="n">
        <v>15</v>
      </c>
      <c r="B16" s="7" t="n">
        <v>77</v>
      </c>
      <c r="C16" s="3" t="inlineStr">
        <is>
          <t>XSD</t>
        </is>
      </c>
      <c r="D16" s="3" t="inlineStr">
        <is>
          <t>Semiconductors - Equal Weight</t>
        </is>
      </c>
      <c r="E16" s="3" t="inlineStr">
        <is>
          <t>Technology</t>
        </is>
      </c>
      <c r="F16" s="5" t="n">
        <v>463.13</v>
      </c>
      <c r="G16" s="6" t="n">
        <v>0.0206721870695592</v>
      </c>
      <c r="H16" s="6" t="n">
        <v>-0.0151408721258639</v>
      </c>
      <c r="I16" s="6" t="n">
        <v>-0.09042168103141102</v>
      </c>
      <c r="J16" s="6" t="n">
        <v>-0.1435255145785014</v>
      </c>
      <c r="K16" s="6" t="n">
        <v>-0.06273745237365291</v>
      </c>
      <c r="L16" s="6" t="n">
        <v>-0.0324057505630384</v>
      </c>
      <c r="M16" s="6" t="n">
        <v>0.3276647461580569</v>
      </c>
      <c r="N16" s="6" t="n">
        <v>0.3438915269318594</v>
      </c>
      <c r="O16" s="6" t="n">
        <v>1.732174475690221</v>
      </c>
      <c r="P16" s="6" t="n">
        <v>0.3979859604025135</v>
      </c>
    </row>
    <row r="17">
      <c r="A17" s="3" t="n">
        <v>16</v>
      </c>
      <c r="B17" s="7" t="n">
        <v>75</v>
      </c>
      <c r="C17" s="3" t="inlineStr">
        <is>
          <t>KBWP</t>
        </is>
      </c>
      <c r="D17" s="3" t="inlineStr">
        <is>
          <t>Insurance Underwriters</t>
        </is>
      </c>
      <c r="E17" s="3" t="inlineStr">
        <is>
          <t>Financials</t>
        </is>
      </c>
      <c r="F17" s="5" t="n">
        <v>136.72</v>
      </c>
      <c r="G17" s="6" t="n">
        <v>0.0002194657894583063</v>
      </c>
      <c r="H17" s="6" t="n">
        <v>0.02851131237301563</v>
      </c>
      <c r="I17" s="6" t="n">
        <v>0.07130542452809041</v>
      </c>
      <c r="J17" s="6" t="n">
        <v>0.1040052104626208</v>
      </c>
      <c r="K17" s="6" t="n">
        <v>0.01587678434403084</v>
      </c>
      <c r="L17" s="6" t="n">
        <v>0.141472428629166</v>
      </c>
      <c r="M17" s="6" t="n">
        <v>0.1335498655218592</v>
      </c>
      <c r="N17" s="6" t="n">
        <v>0.1771109455668023</v>
      </c>
      <c r="O17" s="6" t="n">
        <v>0.6640773105413782</v>
      </c>
      <c r="P17" s="6" t="n">
        <v>0.1850167790158308</v>
      </c>
    </row>
    <row r="18">
      <c r="A18" s="3" t="n">
        <v>17</v>
      </c>
      <c r="B18" s="7" t="n">
        <v>73</v>
      </c>
      <c r="C18" s="3" t="inlineStr">
        <is>
          <t>IAK</t>
        </is>
      </c>
      <c r="D18" s="3" t="inlineStr">
        <is>
          <t>Property &amp; Casualty Insurance</t>
        </is>
      </c>
      <c r="E18" s="3" t="inlineStr">
        <is>
          <t>Financials</t>
        </is>
      </c>
      <c r="F18" s="5" t="n">
        <v>147.57</v>
      </c>
      <c r="G18" s="6" t="n">
        <v>0.004697728883906072</v>
      </c>
      <c r="H18" s="6" t="n">
        <v>0.01941152890310538</v>
      </c>
      <c r="I18" s="6" t="n">
        <v>0.04142562104726544</v>
      </c>
      <c r="J18" s="6" t="n">
        <v>0.06857350327417588</v>
      </c>
      <c r="K18" s="6" t="n">
        <v>-0.0004287207337119181</v>
      </c>
      <c r="L18" s="6" t="n">
        <v>0.1265026454527252</v>
      </c>
      <c r="M18" s="6" t="n">
        <v>0.1473190384306253</v>
      </c>
      <c r="N18" s="6" t="n">
        <v>0.1820942414520408</v>
      </c>
      <c r="O18" s="6" t="n">
        <v>0.6759487958775514</v>
      </c>
      <c r="P18" s="6" t="n">
        <v>0.1878280642479822</v>
      </c>
    </row>
    <row r="19">
      <c r="A19" s="3" t="n">
        <v>18</v>
      </c>
      <c r="B19" s="7" t="n">
        <v>72</v>
      </c>
      <c r="C19" s="3" t="inlineStr">
        <is>
          <t>IYK</t>
        </is>
      </c>
      <c r="D19" s="3" t="inlineStr">
        <is>
          <t>Consumer Staples Products</t>
        </is>
      </c>
      <c r="E19" s="3" t="inlineStr">
        <is>
          <t>Consumer Staples</t>
        </is>
      </c>
      <c r="F19" s="5" t="n">
        <v>77.18000000000001</v>
      </c>
      <c r="G19" s="6" t="n">
        <v>-0.00219777856882819</v>
      </c>
      <c r="H19" s="6" t="n">
        <v>0.005864680419064738</v>
      </c>
      <c r="I19" s="6" t="n">
        <v>0.03820290701087403</v>
      </c>
      <c r="J19" s="6" t="n">
        <v>0.07552951515603201</v>
      </c>
      <c r="K19" s="6" t="n">
        <v>0.04237383928515315</v>
      </c>
      <c r="L19" s="6" t="n">
        <v>0.1052760044179848</v>
      </c>
      <c r="M19" s="6" t="n">
        <v>0.1116557105154108</v>
      </c>
      <c r="N19" s="6" t="n">
        <v>0.1451298905643752</v>
      </c>
      <c r="O19" s="6" t="n">
        <v>0.369472467830152</v>
      </c>
      <c r="P19" s="6" t="n">
        <v>0.110497968767939</v>
      </c>
    </row>
    <row r="20">
      <c r="A20" s="3" t="n">
        <v>19</v>
      </c>
      <c r="B20" s="7" t="n">
        <v>70</v>
      </c>
      <c r="C20" s="3" t="inlineStr">
        <is>
          <t>AMLP</t>
        </is>
      </c>
      <c r="D20" s="3" t="inlineStr">
        <is>
          <t>Midstream Energy &amp; MLPs</t>
        </is>
      </c>
      <c r="E20" s="3" t="inlineStr">
        <is>
          <t>Energy</t>
        </is>
      </c>
      <c r="F20" s="5" t="n">
        <v>53.32</v>
      </c>
      <c r="G20" s="6" t="n">
        <v>0.00338728466773075</v>
      </c>
      <c r="H20" s="6" t="n">
        <v>0.02145591792174706</v>
      </c>
      <c r="I20" s="6" t="n">
        <v>0.01157276837311239</v>
      </c>
      <c r="J20" s="6" t="n">
        <v>0.005089546873641604</v>
      </c>
      <c r="K20" s="6" t="n">
        <v>-0.01198334889252861</v>
      </c>
      <c r="L20" s="6" t="n">
        <v>0.0671697252336394</v>
      </c>
      <c r="M20" s="6" t="n">
        <v>0.1453567489757357</v>
      </c>
      <c r="N20" s="6" t="n">
        <v>0.2348374698899705</v>
      </c>
      <c r="O20" s="6" t="n">
        <v>0.6095285811720117</v>
      </c>
      <c r="P20" s="6" t="n">
        <v>0.1719243130940693</v>
      </c>
    </row>
    <row r="21">
      <c r="A21" s="3" t="n">
        <v>20</v>
      </c>
      <c r="B21" s="7" t="n">
        <v>68</v>
      </c>
      <c r="C21" s="3" t="inlineStr">
        <is>
          <t>XPH</t>
        </is>
      </c>
      <c r="D21" s="3" t="inlineStr">
        <is>
          <t>Pharmaceuticals</t>
        </is>
      </c>
      <c r="E21" s="3" t="inlineStr">
        <is>
          <t>Health Care</t>
        </is>
      </c>
      <c r="F21" s="5" t="n">
        <v>62.9</v>
      </c>
      <c r="G21" s="6" t="n">
        <v>0.003189804792756323</v>
      </c>
      <c r="H21" s="6" t="n">
        <v>0.01060411037296705</v>
      </c>
      <c r="I21" s="6" t="n">
        <v>-0.01734104941895154</v>
      </c>
      <c r="J21" s="6" t="n">
        <v>-0.04826743817177115</v>
      </c>
      <c r="K21" s="6" t="n">
        <v>-0.07373813499395665</v>
      </c>
      <c r="L21" s="6" t="n">
        <v>0.09756767748845285</v>
      </c>
      <c r="M21" s="6" t="n">
        <v>0.119115835900329</v>
      </c>
      <c r="N21" s="6" t="n">
        <v>0.2972171152943994</v>
      </c>
      <c r="O21" s="6" t="n">
        <v>0.8074917555566956</v>
      </c>
      <c r="P21" s="6" t="n">
        <v>0.2181257064965472</v>
      </c>
    </row>
    <row r="22">
      <c r="A22" s="3" t="n">
        <v>21</v>
      </c>
      <c r="B22" s="7" t="n">
        <v>67</v>
      </c>
      <c r="C22" s="3" t="inlineStr">
        <is>
          <t>GGME</t>
        </is>
      </c>
      <c r="D22" s="3" t="inlineStr">
        <is>
          <t>Next-Gen Media &amp; Gaming</t>
        </is>
      </c>
      <c r="E22" s="3" t="inlineStr">
        <is>
          <t>Technology</t>
        </is>
      </c>
      <c r="F22" s="5" t="n">
        <v>64.23999999999999</v>
      </c>
      <c r="G22" s="6" t="n">
        <v>-0.0004667617996539919</v>
      </c>
      <c r="H22" s="6" t="n">
        <v>-0.005264849142844974</v>
      </c>
      <c r="I22" s="6" t="n">
        <v>-0.03121700755598877</v>
      </c>
      <c r="J22" s="6" t="n">
        <v>-0.04062128521345609</v>
      </c>
      <c r="K22" s="6" t="n">
        <v>0.06535396333603782</v>
      </c>
      <c r="L22" s="6" t="n">
        <v>0.1292787532000454</v>
      </c>
      <c r="M22" s="6" t="n">
        <v>0.110359887675173</v>
      </c>
      <c r="N22" s="6" t="n">
        <v>-0.004647033067214368</v>
      </c>
      <c r="O22" s="6" t="n">
        <v>1.045239274752093</v>
      </c>
      <c r="P22" s="6" t="n">
        <v>0.2693499628242355</v>
      </c>
    </row>
    <row r="23">
      <c r="A23" s="3" t="n">
        <v>22</v>
      </c>
      <c r="B23" s="7" t="n">
        <v>65</v>
      </c>
      <c r="C23" s="3" t="inlineStr">
        <is>
          <t>KRE</t>
        </is>
      </c>
      <c r="D23" s="3" t="inlineStr">
        <is>
          <t>Regional Banks</t>
        </is>
      </c>
      <c r="E23" s="3" t="inlineStr">
        <is>
          <t>Financials</t>
        </is>
      </c>
      <c r="F23" s="5" t="n">
        <v>72.73</v>
      </c>
      <c r="G23" s="6" t="n">
        <v>0.003726252772183525</v>
      </c>
      <c r="H23" s="6" t="n">
        <v>0.05010108451740769</v>
      </c>
      <c r="I23" s="6" t="n">
        <v>0.04557225286946842</v>
      </c>
      <c r="J23" s="6" t="n">
        <v>0.01649196722356794</v>
      </c>
      <c r="K23" s="6" t="n">
        <v>-0.03414452613302166</v>
      </c>
      <c r="L23" s="6" t="n">
        <v>0.06796343935853644</v>
      </c>
      <c r="M23" s="6" t="n">
        <v>0.08934614208046421</v>
      </c>
      <c r="N23" s="6" t="n">
        <v>0.2163047589592404</v>
      </c>
      <c r="O23" s="6" t="n">
        <v>0.9858081375940724</v>
      </c>
      <c r="P23" s="6" t="n">
        <v>0.2569338687391935</v>
      </c>
    </row>
    <row r="24">
      <c r="A24" s="3" t="n">
        <v>23</v>
      </c>
      <c r="B24" s="7" t="n">
        <v>64</v>
      </c>
      <c r="C24" s="3" t="inlineStr">
        <is>
          <t>FDN</t>
        </is>
      </c>
      <c r="D24" s="3" t="inlineStr">
        <is>
          <t>Internet &amp; Digital Services</t>
        </is>
      </c>
      <c r="E24" s="3" t="inlineStr">
        <is>
          <t>Technology</t>
        </is>
      </c>
      <c r="F24" s="5" t="n">
        <v>281.33</v>
      </c>
      <c r="G24" s="6" t="n">
        <v>0.0006045771373675013</v>
      </c>
      <c r="H24" s="6" t="n">
        <v>-0.02173308398298235</v>
      </c>
      <c r="I24" s="6" t="n">
        <v>-0.05853028687258044</v>
      </c>
      <c r="J24" s="6" t="n">
        <v>-0.03525256093992601</v>
      </c>
      <c r="K24" s="6" t="n">
        <v>0.08562927633515871</v>
      </c>
      <c r="L24" s="6" t="n">
        <v>0.06908604635169691</v>
      </c>
      <c r="M24" s="6" t="n">
        <v>0.05568688086497731</v>
      </c>
      <c r="N24" s="6" t="n">
        <v>-0.002234376868722743</v>
      </c>
      <c r="O24" s="6" t="n">
        <v>0.9035793988270173</v>
      </c>
      <c r="P24" s="6" t="n">
        <v>0.2393396151562455</v>
      </c>
    </row>
    <row r="25">
      <c r="A25" s="3" t="n">
        <v>24</v>
      </c>
      <c r="B25" s="7" t="n">
        <v>62</v>
      </c>
      <c r="C25" s="3" t="inlineStr">
        <is>
          <t>PEJ</t>
        </is>
      </c>
      <c r="D25" s="3" t="inlineStr">
        <is>
          <t>Leisure &amp; Entertainment</t>
        </is>
      </c>
      <c r="E25" s="3" t="inlineStr">
        <is>
          <t>Consumer Discretionary</t>
        </is>
      </c>
      <c r="F25" s="5" t="n">
        <v>65.28</v>
      </c>
      <c r="G25" s="6" t="n">
        <v>0.002149207721219071</v>
      </c>
      <c r="H25" s="6" t="n">
        <v>0.005390396927091867</v>
      </c>
      <c r="I25" s="6" t="n">
        <v>0.03291136062101341</v>
      </c>
      <c r="J25" s="6" t="n">
        <v>0.04800124931486716</v>
      </c>
      <c r="K25" s="6" t="n">
        <v>0.004755230959553769</v>
      </c>
      <c r="L25" s="6" t="n">
        <v>0.07171464096836822</v>
      </c>
      <c r="M25" s="6" t="n">
        <v>0.07929780894994076</v>
      </c>
      <c r="N25" s="6" t="n">
        <v>0.09768944452850947</v>
      </c>
      <c r="O25" s="6" t="n">
        <v>0.8841563930092886</v>
      </c>
      <c r="P25" s="6" t="n">
        <v>0.2351100325418496</v>
      </c>
    </row>
    <row r="26">
      <c r="A26" s="3" t="n">
        <v>25</v>
      </c>
      <c r="B26" s="7" t="n">
        <v>60</v>
      </c>
      <c r="C26" s="3" t="inlineStr">
        <is>
          <t>SLX</t>
        </is>
      </c>
      <c r="D26" s="3" t="inlineStr">
        <is>
          <t>Steel Industry</t>
        </is>
      </c>
      <c r="E26" s="3" t="inlineStr">
        <is>
          <t>Materials</t>
        </is>
      </c>
      <c r="F26" s="5" t="n">
        <v>99.52</v>
      </c>
      <c r="G26" s="6" t="n">
        <v>-0.005197963491623936</v>
      </c>
      <c r="H26" s="6" t="n">
        <v>-0.0326594158247796</v>
      </c>
      <c r="I26" s="6" t="n">
        <v>-0.03472358762404149</v>
      </c>
      <c r="J26" s="6" t="n">
        <v>-0.05038173907384103</v>
      </c>
      <c r="K26" s="6" t="n">
        <v>-0.0383612069055127</v>
      </c>
      <c r="L26" s="6" t="n">
        <v>-0.02008665778423624</v>
      </c>
      <c r="M26" s="6" t="n">
        <v>0.05613916053992751</v>
      </c>
      <c r="N26" s="6" t="n">
        <v>0.2983669440848455</v>
      </c>
      <c r="O26" s="6" t="n">
        <v>0.7477479010467232</v>
      </c>
      <c r="P26" s="6" t="n">
        <v>0.2045539693313869</v>
      </c>
    </row>
    <row r="27">
      <c r="A27" s="3" t="n">
        <v>26</v>
      </c>
      <c r="B27" s="7" t="n">
        <v>59</v>
      </c>
      <c r="C27" s="3" t="inlineStr">
        <is>
          <t>KBE</t>
        </is>
      </c>
      <c r="D27" s="3" t="inlineStr">
        <is>
          <t>Commercial Banking</t>
        </is>
      </c>
      <c r="E27" s="3" t="inlineStr">
        <is>
          <t>Financials</t>
        </is>
      </c>
      <c r="F27" s="5" t="n">
        <v>66.12</v>
      </c>
      <c r="G27" s="6" t="n">
        <v>0.003795354327854161</v>
      </c>
      <c r="H27" s="6" t="n">
        <v>0.04752857835017843</v>
      </c>
      <c r="I27" s="6" t="n">
        <v>0.04306678313960366</v>
      </c>
      <c r="J27" s="6" t="n">
        <v>0.01162793955222363</v>
      </c>
      <c r="K27" s="6" t="n">
        <v>-0.04131635246980636</v>
      </c>
      <c r="L27" s="6" t="n">
        <v>0.05277779245624425</v>
      </c>
      <c r="M27" s="6" t="n">
        <v>0.06496575703330221</v>
      </c>
      <c r="N27" s="6" t="n">
        <v>0.1710037408290708</v>
      </c>
      <c r="O27" s="6" t="n">
        <v>1.017531717442044</v>
      </c>
      <c r="P27" s="6" t="n">
        <v>0.2635917749855914</v>
      </c>
    </row>
    <row r="28">
      <c r="A28" s="3" t="n">
        <v>27</v>
      </c>
      <c r="B28" s="7" t="n">
        <v>57</v>
      </c>
      <c r="C28" s="3" t="inlineStr">
        <is>
          <t>REZ</t>
        </is>
      </c>
      <c r="D28" s="3" t="inlineStr">
        <is>
          <t>Residential &amp; Healthcare REITs</t>
        </is>
      </c>
      <c r="E28" s="3" t="inlineStr">
        <is>
          <t>Real Estate</t>
        </is>
      </c>
      <c r="F28" s="5" t="n">
        <v>91.90000000000001</v>
      </c>
      <c r="G28" s="6" t="n">
        <v>0.003823030720416565</v>
      </c>
      <c r="H28" s="6" t="n">
        <v>0.03362948757861517</v>
      </c>
      <c r="I28" s="6" t="n">
        <v>0.03924009056573552</v>
      </c>
      <c r="J28" s="6" t="n">
        <v>0.03026911065034432</v>
      </c>
      <c r="K28" s="6" t="n">
        <v>-0.06932105461603122</v>
      </c>
      <c r="L28" s="6" t="n">
        <v>0.05317625461832276</v>
      </c>
      <c r="M28" s="6" t="n">
        <v>0.1091026579846393</v>
      </c>
      <c r="N28" s="6" t="n">
        <v>0.10787539130374</v>
      </c>
      <c r="O28" s="6" t="n">
        <v>0.5746020852614682</v>
      </c>
      <c r="P28" s="6" t="n">
        <v>0.1633853949990671</v>
      </c>
    </row>
    <row r="29">
      <c r="A29" s="3" t="n">
        <v>28</v>
      </c>
      <c r="B29" s="7" t="n">
        <v>56</v>
      </c>
      <c r="C29" s="3" t="inlineStr">
        <is>
          <t>PBJ</t>
        </is>
      </c>
      <c r="D29" s="3" t="inlineStr">
        <is>
          <t>Food &amp; Beverage Manufacturers</t>
        </is>
      </c>
      <c r="E29" s="3" t="inlineStr">
        <is>
          <t>Consumer Staples</t>
        </is>
      </c>
      <c r="F29" s="5" t="n">
        <v>47.96</v>
      </c>
      <c r="G29" s="6" t="n">
        <v>0.0006258873170430501</v>
      </c>
      <c r="H29" s="6" t="n">
        <v>0.01567128006436991</v>
      </c>
      <c r="I29" s="6" t="n">
        <v>0.03652471601446505</v>
      </c>
      <c r="J29" s="6" t="n">
        <v>0.05778559600942623</v>
      </c>
      <c r="K29" s="6" t="n">
        <v>0.00442428633526748</v>
      </c>
      <c r="L29" s="6" t="n">
        <v>-0.02944198974016299</v>
      </c>
      <c r="M29" s="6" t="n">
        <v>0.02849880829233831</v>
      </c>
      <c r="N29" s="6" t="n">
        <v>0.08147482292869146</v>
      </c>
      <c r="O29" s="6" t="n">
        <v>0.2255663665761982</v>
      </c>
      <c r="P29" s="6" t="n">
        <v>0.07015235451785173</v>
      </c>
    </row>
    <row r="30">
      <c r="A30" s="3" t="n">
        <v>29</v>
      </c>
      <c r="B30" s="7" t="n">
        <v>54</v>
      </c>
      <c r="C30" s="3" t="inlineStr">
        <is>
          <t>XRT</t>
        </is>
      </c>
      <c r="D30" s="3" t="inlineStr">
        <is>
          <t>Retail - Broad / Omnichannel</t>
        </is>
      </c>
      <c r="E30" s="3" t="inlineStr">
        <is>
          <t>Consumer Discretionary</t>
        </is>
      </c>
      <c r="F30" s="5" t="n">
        <v>87.42</v>
      </c>
      <c r="G30" s="6" t="n">
        <v>-0.0026241112713008</v>
      </c>
      <c r="H30" s="6" t="n">
        <v>0.006910832483645546</v>
      </c>
      <c r="I30" s="6" t="n">
        <v>0.03885913943876496</v>
      </c>
      <c r="J30" s="6" t="n">
        <v>0.06002178822569904</v>
      </c>
      <c r="K30" s="6" t="n">
        <v>0.006835450356719175</v>
      </c>
      <c r="L30" s="6" t="n">
        <v>0.02335677724862828</v>
      </c>
      <c r="M30" s="6" t="n">
        <v>-0.008547560248467145</v>
      </c>
      <c r="N30" s="6" t="n">
        <v>0.0402812404700621</v>
      </c>
      <c r="O30" s="6" t="n">
        <v>0.5457838914926678</v>
      </c>
      <c r="P30" s="6" t="n">
        <v>0.1562442670493669</v>
      </c>
    </row>
    <row r="31">
      <c r="A31" s="3" t="n">
        <v>30</v>
      </c>
      <c r="B31" s="7" t="n">
        <v>52</v>
      </c>
      <c r="C31" s="3" t="inlineStr">
        <is>
          <t>VAW</t>
        </is>
      </c>
      <c r="D31" s="3" t="inlineStr">
        <is>
          <t>Chemicals &amp; Raw Materials</t>
        </is>
      </c>
      <c r="E31" s="3" t="inlineStr">
        <is>
          <t>Materials</t>
        </is>
      </c>
      <c r="F31" s="5" t="n">
        <v>224.66</v>
      </c>
      <c r="G31" s="6" t="n">
        <v>0.001515675493890312</v>
      </c>
      <c r="H31" s="6" t="n">
        <v>-0.003150337092162392</v>
      </c>
      <c r="I31" s="6" t="n">
        <v>0.0143579916738048</v>
      </c>
      <c r="J31" s="6" t="n">
        <v>0.004650785115959177</v>
      </c>
      <c r="K31" s="6" t="n">
        <v>-0.006003748114651319</v>
      </c>
      <c r="L31" s="6" t="n">
        <v>-0.04169128884758555</v>
      </c>
      <c r="M31" s="6" t="n">
        <v>-0.01486555376467724</v>
      </c>
      <c r="N31" s="6" t="n">
        <v>0.1232342038064176</v>
      </c>
      <c r="O31" s="6" t="n">
        <v>0.4381324354324423</v>
      </c>
      <c r="P31" s="6" t="n">
        <v>0.1287548441440258</v>
      </c>
    </row>
    <row r="32">
      <c r="A32" s="3" t="n">
        <v>31</v>
      </c>
      <c r="B32" s="7" t="n">
        <v>51</v>
      </c>
      <c r="C32" s="3" t="inlineStr">
        <is>
          <t>IYT</t>
        </is>
      </c>
      <c r="D32" s="3" t="inlineStr">
        <is>
          <t>Transportation &amp; Freight</t>
        </is>
      </c>
      <c r="E32" s="3" t="inlineStr">
        <is>
          <t>Industrials</t>
        </is>
      </c>
      <c r="F32" s="5" t="n">
        <v>80.7</v>
      </c>
      <c r="G32" s="6" t="n">
        <v>0.006485365940224863</v>
      </c>
      <c r="H32" s="6" t="n">
        <v>0.01662887050260498</v>
      </c>
      <c r="I32" s="6" t="n">
        <v>0.008749961853027344</v>
      </c>
      <c r="J32" s="6" t="n">
        <v>0.01701321361160923</v>
      </c>
      <c r="K32" s="6" t="n">
        <v>-0.08109467561000405</v>
      </c>
      <c r="L32" s="6" t="n">
        <v>-0.003979370551339678</v>
      </c>
      <c r="M32" s="6" t="n">
        <v>0.05939666678217947</v>
      </c>
      <c r="N32" s="6" t="n">
        <v>0.1545930711382568</v>
      </c>
      <c r="O32" s="6" t="n">
        <v>0.5616108220007467</v>
      </c>
      <c r="P32" s="6" t="n">
        <v>0.1601770493731283</v>
      </c>
    </row>
    <row r="33">
      <c r="A33" s="3" t="n">
        <v>32</v>
      </c>
      <c r="B33" s="7" t="n">
        <v>49</v>
      </c>
      <c r="C33" s="3" t="inlineStr">
        <is>
          <t>IHI</t>
        </is>
      </c>
      <c r="D33" s="3" t="inlineStr">
        <is>
          <t>Medical Devices &amp; Equipment</t>
        </is>
      </c>
      <c r="E33" s="3" t="inlineStr">
        <is>
          <t>Health Care</t>
        </is>
      </c>
      <c r="F33" s="5" t="n">
        <v>55.04</v>
      </c>
      <c r="G33" s="6" t="n">
        <v>0.00218504644178763</v>
      </c>
      <c r="H33" s="6" t="n">
        <v>0.02380957280427309</v>
      </c>
      <c r="I33" s="6" t="n">
        <v>0.04262170791776199</v>
      </c>
      <c r="J33" s="6" t="n">
        <v>0.06666671595216256</v>
      </c>
      <c r="K33" s="6" t="n">
        <v>0.09747365296848454</v>
      </c>
      <c r="L33" s="6" t="n">
        <v>0.04543575938902134</v>
      </c>
      <c r="M33" s="6" t="n">
        <v>-0.09034886547730248</v>
      </c>
      <c r="N33" s="6" t="n">
        <v>-0.1060642737066441</v>
      </c>
      <c r="O33" s="6" t="n">
        <v>0.2506384768366221</v>
      </c>
      <c r="P33" s="6" t="n">
        <v>0.07740072135048703</v>
      </c>
    </row>
    <row r="34">
      <c r="A34" s="3" t="n">
        <v>33</v>
      </c>
      <c r="B34" s="7" t="n">
        <v>48</v>
      </c>
      <c r="C34" s="3" t="inlineStr">
        <is>
          <t>VNQ</t>
        </is>
      </c>
      <c r="D34" s="3" t="inlineStr">
        <is>
          <t>REITs - Broad</t>
        </is>
      </c>
      <c r="E34" s="3" t="inlineStr">
        <is>
          <t>Real Estate</t>
        </is>
      </c>
      <c r="F34" s="5" t="n">
        <v>93.17</v>
      </c>
      <c r="G34" s="6" t="n">
        <v>0.005178505932638133</v>
      </c>
      <c r="H34" s="6" t="n">
        <v>0.02711938164812255</v>
      </c>
      <c r="I34" s="6" t="n">
        <v>0.01981170694507051</v>
      </c>
      <c r="J34" s="6" t="n">
        <v>0.02395868069410967</v>
      </c>
      <c r="K34" s="6" t="n">
        <v>-0.06777029061313522</v>
      </c>
      <c r="L34" s="6" t="n">
        <v>-0.005179478995620435</v>
      </c>
      <c r="M34" s="6" t="n">
        <v>0.0597198141582016</v>
      </c>
      <c r="N34" s="6" t="n">
        <v>0.0461337057571467</v>
      </c>
      <c r="O34" s="6" t="n">
        <v>0.4475141815040495</v>
      </c>
      <c r="P34" s="6" t="n">
        <v>0.1312040267684338</v>
      </c>
    </row>
    <row r="35">
      <c r="A35" s="3" t="n">
        <v>34</v>
      </c>
      <c r="B35" s="7" t="n">
        <v>46</v>
      </c>
      <c r="C35" s="3" t="inlineStr">
        <is>
          <t>IAI</t>
        </is>
      </c>
      <c r="D35" s="3" t="inlineStr">
        <is>
          <t>Broker-Dealers &amp; Securities Exchanges</t>
        </is>
      </c>
      <c r="E35" s="3" t="inlineStr">
        <is>
          <t>Financials</t>
        </is>
      </c>
      <c r="F35" s="5" t="n">
        <v>178.09</v>
      </c>
      <c r="G35" s="6" t="n">
        <v>0.004682397928330584</v>
      </c>
      <c r="H35" s="6" t="n">
        <v>0.02598222409990236</v>
      </c>
      <c r="I35" s="6" t="n">
        <v>-0.00413803883904873</v>
      </c>
      <c r="J35" s="6" t="n">
        <v>-0.01542463771343572</v>
      </c>
      <c r="K35" s="6" t="n">
        <v>-0.0445372639526157</v>
      </c>
      <c r="L35" s="6" t="n">
        <v>0.01408384865966505</v>
      </c>
      <c r="M35" s="6" t="n">
        <v>-0.03209333789008517</v>
      </c>
      <c r="N35" s="6" t="n">
        <v>0.02594218113404123</v>
      </c>
      <c r="O35" s="6" t="n">
        <v>1.120005013332559</v>
      </c>
      <c r="P35" s="6" t="n">
        <v>0.2846326703352156</v>
      </c>
    </row>
    <row r="36">
      <c r="A36" s="3" t="n">
        <v>35</v>
      </c>
      <c r="B36" s="7" t="n">
        <v>44</v>
      </c>
      <c r="C36" s="3" t="inlineStr">
        <is>
          <t>GDX</t>
        </is>
      </c>
      <c r="D36" s="3" t="inlineStr">
        <is>
          <t>Gold Miners</t>
        </is>
      </c>
      <c r="E36" s="3" t="inlineStr">
        <is>
          <t>Materials</t>
        </is>
      </c>
      <c r="F36" s="5" t="n">
        <v>81.02</v>
      </c>
      <c r="G36" s="6" t="n">
        <v>0.01022443548661744</v>
      </c>
      <c r="H36" s="6" t="n">
        <v>-0.06302769169305678</v>
      </c>
      <c r="I36" s="6" t="n">
        <v>-0.08483002642926407</v>
      </c>
      <c r="J36" s="6" t="n">
        <v>-0.1275977791865819</v>
      </c>
      <c r="K36" s="6" t="n">
        <v>0.07696388445793123</v>
      </c>
      <c r="L36" s="6" t="n">
        <v>-0.1411914374802068</v>
      </c>
      <c r="M36" s="6" t="n">
        <v>-0.2461853915839149</v>
      </c>
      <c r="N36" s="6" t="n">
        <v>0.1209948233128264</v>
      </c>
      <c r="O36" s="6" t="n">
        <v>1.942576417928335</v>
      </c>
      <c r="P36" s="6" t="n">
        <v>0.4329880983567296</v>
      </c>
    </row>
    <row r="37">
      <c r="A37" s="3" t="n">
        <v>36</v>
      </c>
      <c r="B37" s="7" t="n">
        <v>43</v>
      </c>
      <c r="C37" s="3" t="inlineStr">
        <is>
          <t>COPX</t>
        </is>
      </c>
      <c r="D37" s="3" t="inlineStr">
        <is>
          <t>Copper Miners</t>
        </is>
      </c>
      <c r="E37" s="3" t="inlineStr">
        <is>
          <t>Materials</t>
        </is>
      </c>
      <c r="F37" s="5" t="n">
        <v>73.81</v>
      </c>
      <c r="G37" s="6" t="n">
        <v>0.009850885986840252</v>
      </c>
      <c r="H37" s="6" t="n">
        <v>-0.07378597945377019</v>
      </c>
      <c r="I37" s="6" t="n">
        <v>-0.1352079803378834</v>
      </c>
      <c r="J37" s="6" t="n">
        <v>-0.1489681228901619</v>
      </c>
      <c r="K37" s="6" t="n">
        <v>-0.05030884715256312</v>
      </c>
      <c r="L37" s="6" t="n">
        <v>-0.1008762587087758</v>
      </c>
      <c r="M37" s="6" t="n">
        <v>-0.1591641829027172</v>
      </c>
      <c r="N37" s="6" t="n">
        <v>0.2454381422595175</v>
      </c>
      <c r="O37" s="6" t="n">
        <v>1.349029222570719</v>
      </c>
      <c r="P37" s="6" t="n">
        <v>0.3293197988991303</v>
      </c>
    </row>
    <row r="38">
      <c r="A38" s="3" t="n">
        <v>37</v>
      </c>
      <c r="B38" s="7" t="n">
        <v>41</v>
      </c>
      <c r="C38" s="3" t="inlineStr">
        <is>
          <t>IFRA</t>
        </is>
      </c>
      <c r="D38" s="3" t="inlineStr">
        <is>
          <t>US Infrastructure &amp; Engineering</t>
        </is>
      </c>
      <c r="E38" s="3" t="inlineStr">
        <is>
          <t>Industrials</t>
        </is>
      </c>
      <c r="F38" s="5" t="n">
        <v>56.87</v>
      </c>
      <c r="G38" s="6" t="n">
        <v>0.005125434631409131</v>
      </c>
      <c r="H38" s="6" t="n">
        <v>0.009228047415165141</v>
      </c>
      <c r="I38" s="6" t="n">
        <v>-0.00402801310652523</v>
      </c>
      <c r="J38" s="6" t="n">
        <v>0.02100535283517946</v>
      </c>
      <c r="K38" s="6" t="n">
        <v>-0.08872662261401776</v>
      </c>
      <c r="L38" s="6" t="n">
        <v>-0.06286047233359615</v>
      </c>
      <c r="M38" s="6" t="n">
        <v>0.01966071883406761</v>
      </c>
      <c r="N38" s="6" t="n">
        <v>0.07133138289661689</v>
      </c>
      <c r="O38" s="6" t="n">
        <v>0.7186470670967475</v>
      </c>
      <c r="P38" s="6" t="n">
        <v>0.1978310513152748</v>
      </c>
    </row>
    <row r="39">
      <c r="A39" s="3" t="n">
        <v>38</v>
      </c>
      <c r="B39" s="7" t="n">
        <v>40</v>
      </c>
      <c r="C39" s="3" t="inlineStr">
        <is>
          <t>XTN</t>
        </is>
      </c>
      <c r="D39" s="3" t="inlineStr">
        <is>
          <t>Trucking &amp; Logistics</t>
        </is>
      </c>
      <c r="E39" s="3" t="inlineStr">
        <is>
          <t>Industrials</t>
        </is>
      </c>
      <c r="F39" s="5" t="n">
        <v>97.98999999999999</v>
      </c>
      <c r="G39" s="6" t="n">
        <v>0.002762961928915786</v>
      </c>
      <c r="H39" s="6" t="n">
        <v>0.01428420706655187</v>
      </c>
      <c r="I39" s="6" t="n">
        <v>-0.009701860677922003</v>
      </c>
      <c r="J39" s="6" t="n">
        <v>-0.009601824885736465</v>
      </c>
      <c r="K39" s="6" t="n">
        <v>-0.1358838810483274</v>
      </c>
      <c r="L39" s="6" t="n">
        <v>-0.06338461192914657</v>
      </c>
      <c r="M39" s="6" t="n">
        <v>0.01286148276433408</v>
      </c>
      <c r="N39" s="6" t="n">
        <v>0.1723741934176508</v>
      </c>
      <c r="O39" s="6" t="n">
        <v>0.4831963816865261</v>
      </c>
      <c r="P39" s="6" t="n">
        <v>0.1404236605521245</v>
      </c>
    </row>
    <row r="40">
      <c r="A40" s="3" t="n">
        <v>39</v>
      </c>
      <c r="B40" s="7" t="n">
        <v>38</v>
      </c>
      <c r="C40" s="3" t="inlineStr">
        <is>
          <t>PAVE</t>
        </is>
      </c>
      <c r="D40" s="3" t="inlineStr">
        <is>
          <t>Infrastructure Development</t>
        </is>
      </c>
      <c r="E40" s="3" t="inlineStr">
        <is>
          <t>Industrials</t>
        </is>
      </c>
      <c r="F40" s="5" t="n">
        <v>52.13</v>
      </c>
      <c r="G40" s="6" t="n">
        <v>0.01027136840439935</v>
      </c>
      <c r="H40" s="6" t="n">
        <v>-0.01212809141740834</v>
      </c>
      <c r="I40" s="6" t="n">
        <v>-0.0232339870448961</v>
      </c>
      <c r="J40" s="6" t="n">
        <v>-0.02506078402835443</v>
      </c>
      <c r="K40" s="6" t="n">
        <v>-0.09637714839569456</v>
      </c>
      <c r="L40" s="6" t="n">
        <v>-0.06913692649054859</v>
      </c>
      <c r="M40" s="6" t="n">
        <v>0.02154568362342202</v>
      </c>
      <c r="N40" s="6" t="n">
        <v>0.08780364402682861</v>
      </c>
      <c r="O40" s="6" t="n">
        <v>0.8720161229175198</v>
      </c>
      <c r="P40" s="6" t="n">
        <v>0.2324515677622154</v>
      </c>
    </row>
    <row r="41">
      <c r="A41" s="3" t="n">
        <v>40</v>
      </c>
      <c r="B41" s="7" t="n">
        <v>36</v>
      </c>
      <c r="C41" s="3" t="inlineStr">
        <is>
          <t>BIZD</t>
        </is>
      </c>
      <c r="D41" s="3" t="inlineStr">
        <is>
          <t>Business Development Companies (BDCs)</t>
        </is>
      </c>
      <c r="E41" s="3" t="inlineStr">
        <is>
          <t>Financials</t>
        </is>
      </c>
      <c r="F41" s="5" t="n">
        <v>11.9</v>
      </c>
      <c r="G41" s="6" t="n">
        <v>-0.002514726393803346</v>
      </c>
      <c r="H41" s="6" t="n">
        <v>0.00762059235527901</v>
      </c>
      <c r="I41" s="6" t="n">
        <v>-0.01652898815158221</v>
      </c>
      <c r="J41" s="6" t="n">
        <v>-0.04588743172022891</v>
      </c>
      <c r="K41" s="6" t="n">
        <v>-0.001815810615568569</v>
      </c>
      <c r="L41" s="6" t="n">
        <v>-0.01144854563621145</v>
      </c>
      <c r="M41" s="6" t="n">
        <v>-0.08192385195361462</v>
      </c>
      <c r="N41" s="6" t="n">
        <v>-0.06368926443873002</v>
      </c>
      <c r="O41" s="6" t="n">
        <v>0.1232655758128967</v>
      </c>
      <c r="P41" s="6" t="n">
        <v>0.03950715547890593</v>
      </c>
    </row>
    <row r="42">
      <c r="A42" s="3" t="n">
        <v>41</v>
      </c>
      <c r="B42" s="7" t="n">
        <v>35</v>
      </c>
      <c r="C42" s="3" t="inlineStr">
        <is>
          <t>GRID</t>
        </is>
      </c>
      <c r="D42" s="3" t="inlineStr">
        <is>
          <t>Smart Grid &amp; Electric Infrastructure</t>
        </is>
      </c>
      <c r="E42" s="3" t="inlineStr">
        <is>
          <t>Utilities</t>
        </is>
      </c>
      <c r="F42" s="5" t="n">
        <v>163.04</v>
      </c>
      <c r="G42" s="6" t="n">
        <v>0.00221293721760274</v>
      </c>
      <c r="H42" s="6" t="n">
        <v>-0.03412327998512454</v>
      </c>
      <c r="I42" s="6" t="n">
        <v>-0.08763292629851061</v>
      </c>
      <c r="J42" s="6" t="n">
        <v>-0.09205331271296624</v>
      </c>
      <c r="K42" s="6" t="n">
        <v>-0.07913698887741127</v>
      </c>
      <c r="L42" s="6" t="n">
        <v>-0.1238240800942876</v>
      </c>
      <c r="M42" s="6" t="n">
        <v>0.01961810229075067</v>
      </c>
      <c r="N42" s="6" t="n">
        <v>0.05015345426147011</v>
      </c>
      <c r="O42" s="6" t="n">
        <v>0.9566532642952346</v>
      </c>
      <c r="P42" s="6" t="n">
        <v>0.2507522435958314</v>
      </c>
    </row>
    <row r="43">
      <c r="A43" s="3" t="n">
        <v>42</v>
      </c>
      <c r="B43" s="7" t="n">
        <v>33</v>
      </c>
      <c r="C43" s="3" t="inlineStr">
        <is>
          <t>XLU</t>
        </is>
      </c>
      <c r="D43" s="3" t="inlineStr">
        <is>
          <t>Electric &amp; Gas Utilities</t>
        </is>
      </c>
      <c r="E43" s="3" t="inlineStr">
        <is>
          <t>Utilities</t>
        </is>
      </c>
      <c r="F43" s="5" t="n">
        <v>42.55</v>
      </c>
      <c r="G43" s="6" t="n">
        <v>-0.0002350125918169077</v>
      </c>
      <c r="H43" s="6" t="n">
        <v>0.02877172652679194</v>
      </c>
      <c r="I43" s="6" t="n">
        <v>0.02209940296278168</v>
      </c>
      <c r="J43" s="6" t="n">
        <v>0.07694257263155913</v>
      </c>
      <c r="K43" s="6" t="n">
        <v>-0.074036167142285</v>
      </c>
      <c r="L43" s="6" t="n">
        <v>-0.06590370009838209</v>
      </c>
      <c r="M43" s="6" t="n">
        <v>0.01325295907627799</v>
      </c>
      <c r="N43" s="6" t="n">
        <v>-0.04226764494079205</v>
      </c>
      <c r="O43" s="6" t="n">
        <v>0.5546956630881099</v>
      </c>
      <c r="P43" s="6" t="n">
        <v>0.1584620082911554</v>
      </c>
    </row>
    <row r="44">
      <c r="A44" s="3" t="n">
        <v>43</v>
      </c>
      <c r="B44" s="7" t="n">
        <v>32</v>
      </c>
      <c r="C44" s="3" t="inlineStr">
        <is>
          <t>JETS</t>
        </is>
      </c>
      <c r="D44" s="3" t="inlineStr">
        <is>
          <t>Airlines</t>
        </is>
      </c>
      <c r="E44" s="3" t="inlineStr">
        <is>
          <t>Industrials</t>
        </is>
      </c>
      <c r="F44" s="5" t="n">
        <v>26.43</v>
      </c>
      <c r="G44" s="6" t="n">
        <v>0.01264367505298369</v>
      </c>
      <c r="H44" s="6" t="n">
        <v>0.03322910023475001</v>
      </c>
      <c r="I44" s="6" t="n">
        <v>-0.02183568255337931</v>
      </c>
      <c r="J44" s="6" t="n">
        <v>-0.08799169348999125</v>
      </c>
      <c r="K44" s="6" t="n">
        <v>-0.1219269112884558</v>
      </c>
      <c r="L44" s="6" t="n">
        <v>0.01653847327599167</v>
      </c>
      <c r="M44" s="6" t="n">
        <v>-0.06673726730279084</v>
      </c>
      <c r="N44" s="6" t="n">
        <v>0.04332331541270995</v>
      </c>
      <c r="O44" s="6" t="n">
        <v>0.7764319259599743</v>
      </c>
      <c r="P44" s="6" t="n">
        <v>0.2111079544989134</v>
      </c>
    </row>
    <row r="45">
      <c r="A45" s="3" t="n">
        <v>44</v>
      </c>
      <c r="B45" s="8" t="n">
        <v>30</v>
      </c>
      <c r="C45" s="3" t="inlineStr">
        <is>
          <t>FAN</t>
        </is>
      </c>
      <c r="D45" s="3" t="inlineStr">
        <is>
          <t>Wind Energy</t>
        </is>
      </c>
      <c r="E45" s="3" t="inlineStr">
        <is>
          <t>Energy</t>
        </is>
      </c>
      <c r="F45" s="5" t="n">
        <v>21.64</v>
      </c>
      <c r="G45" s="6" t="n">
        <v>0.002780327439967811</v>
      </c>
      <c r="H45" s="6" t="n">
        <v>-0.01232316109740017</v>
      </c>
      <c r="I45" s="6" t="n">
        <v>-0.02654071816182035</v>
      </c>
      <c r="J45" s="6" t="n">
        <v>-0.05790160920609211</v>
      </c>
      <c r="K45" s="6" t="n">
        <v>-0.09726553760064827</v>
      </c>
      <c r="L45" s="6" t="n">
        <v>-0.1715809179003224</v>
      </c>
      <c r="M45" s="6" t="n">
        <v>-0.03674754338867181</v>
      </c>
      <c r="N45" s="6" t="n">
        <v>0.09134499400344676</v>
      </c>
      <c r="O45" s="6" t="n">
        <v>0.6638319695120352</v>
      </c>
      <c r="P45" s="6" t="n">
        <v>0.184958539028294</v>
      </c>
    </row>
    <row r="46">
      <c r="A46" s="3" t="n">
        <v>45</v>
      </c>
      <c r="B46" s="8" t="n">
        <v>28</v>
      </c>
      <c r="C46" s="3" t="inlineStr">
        <is>
          <t>XLC</t>
        </is>
      </c>
      <c r="D46" s="3" t="inlineStr">
        <is>
          <t>Media &amp; Interactive Media</t>
        </is>
      </c>
      <c r="E46" s="3" t="inlineStr">
        <is>
          <t>Communication</t>
        </is>
      </c>
      <c r="F46" s="5" t="n">
        <v>103.85</v>
      </c>
      <c r="G46" s="6" t="n">
        <v>-0.01573314025684547</v>
      </c>
      <c r="H46" s="6" t="n">
        <v>-0.05668087992861393</v>
      </c>
      <c r="I46" s="6" t="n">
        <v>-0.06819200253231561</v>
      </c>
      <c r="J46" s="6" t="n">
        <v>-0.08064802305406371</v>
      </c>
      <c r="K46" s="6" t="n">
        <v>-0.01982820852462175</v>
      </c>
      <c r="L46" s="6" t="n">
        <v>-0.09586881455682994</v>
      </c>
      <c r="M46" s="6" t="n">
        <v>-0.1101581587806058</v>
      </c>
      <c r="N46" s="6" t="n">
        <v>-0.09012599695871482</v>
      </c>
      <c r="O46" s="6" t="n">
        <v>0.6978061264613471</v>
      </c>
      <c r="P46" s="6" t="n">
        <v>0.1929695687231578</v>
      </c>
    </row>
    <row r="47">
      <c r="A47" s="3" t="n">
        <v>46</v>
      </c>
      <c r="B47" s="8" t="n">
        <v>27</v>
      </c>
      <c r="C47" s="3" t="inlineStr">
        <is>
          <t>WOOD</t>
        </is>
      </c>
      <c r="D47" s="3" t="inlineStr">
        <is>
          <t>Timber &amp; Forestry</t>
        </is>
      </c>
      <c r="E47" s="3" t="inlineStr">
        <is>
          <t>Materials</t>
        </is>
      </c>
      <c r="F47" s="5" t="n">
        <v>65.84</v>
      </c>
      <c r="G47" s="6" t="n">
        <v>-0.006788423162192414</v>
      </c>
      <c r="H47" s="6" t="n">
        <v>-0.006188734522405648</v>
      </c>
      <c r="I47" s="6" t="n">
        <v>-0.0111145309824684</v>
      </c>
      <c r="J47" s="6" t="n">
        <v>-0.05006494507187986</v>
      </c>
      <c r="K47" s="6" t="n">
        <v>-0.05047591844315447</v>
      </c>
      <c r="L47" s="6" t="n">
        <v>-0.03592085144099988</v>
      </c>
      <c r="M47" s="6" t="n">
        <v>-0.135051734345666</v>
      </c>
      <c r="N47" s="6" t="n">
        <v>-0.06931795227905901</v>
      </c>
      <c r="O47" s="6" t="n">
        <v>-0.009085527973953123</v>
      </c>
      <c r="P47" s="6" t="n">
        <v>-0.003037727770822674</v>
      </c>
    </row>
    <row r="48">
      <c r="A48" s="3" t="n">
        <v>47</v>
      </c>
      <c r="B48" s="8" t="n">
        <v>25</v>
      </c>
      <c r="C48" s="3" t="inlineStr">
        <is>
          <t>VNQI</t>
        </is>
      </c>
      <c r="D48" s="3" t="inlineStr">
        <is>
          <t>International Real Estate</t>
        </is>
      </c>
      <c r="E48" s="3" t="inlineStr">
        <is>
          <t>Real Estate</t>
        </is>
      </c>
      <c r="F48" s="5" t="n">
        <v>42.9</v>
      </c>
      <c r="G48" s="6" t="n">
        <v>0.004448664141398329</v>
      </c>
      <c r="H48" s="6" t="n">
        <v>0.01948668391499608</v>
      </c>
      <c r="I48" s="6" t="n">
        <v>0.02191524520425392</v>
      </c>
      <c r="J48" s="6" t="n">
        <v>-0.004640300587534174</v>
      </c>
      <c r="K48" s="6" t="n">
        <v>-0.05298008281682642</v>
      </c>
      <c r="L48" s="6" t="n">
        <v>-0.0864565084699116</v>
      </c>
      <c r="M48" s="6" t="n">
        <v>-0.09949617809607847</v>
      </c>
      <c r="N48" s="6" t="n">
        <v>-0.06861456850002923</v>
      </c>
      <c r="O48" s="6" t="n">
        <v>0.337613562376613</v>
      </c>
      <c r="P48" s="6" t="n">
        <v>0.1018189086897443</v>
      </c>
    </row>
    <row r="49">
      <c r="A49" s="3" t="n">
        <v>48</v>
      </c>
      <c r="B49" s="8" t="n">
        <v>23</v>
      </c>
      <c r="C49" s="3" t="inlineStr">
        <is>
          <t>BOTZ</t>
        </is>
      </c>
      <c r="D49" s="3" t="inlineStr">
        <is>
          <t>Robotics &amp; Artificial Intelligence</t>
        </is>
      </c>
      <c r="E49" s="3" t="inlineStr">
        <is>
          <t>Technology</t>
        </is>
      </c>
      <c r="F49" s="5" t="n">
        <v>33.14</v>
      </c>
      <c r="G49" s="6" t="n">
        <v>0.003634128716571539</v>
      </c>
      <c r="H49" s="6" t="n">
        <v>-0.006296824410220281</v>
      </c>
      <c r="I49" s="6" t="n">
        <v>-0.05042985843210923</v>
      </c>
      <c r="J49" s="6" t="n">
        <v>-0.0638418655032631</v>
      </c>
      <c r="K49" s="6" t="n">
        <v>-0.02039616920070197</v>
      </c>
      <c r="L49" s="6" t="n">
        <v>-0.1125114863356661</v>
      </c>
      <c r="M49" s="6" t="n">
        <v>-0.1265391596149291</v>
      </c>
      <c r="N49" s="6" t="n">
        <v>-0.1174200952185798</v>
      </c>
      <c r="O49" s="6" t="n">
        <v>0.4918681787438821</v>
      </c>
      <c r="P49" s="6" t="n">
        <v>0.1426419128240968</v>
      </c>
    </row>
    <row r="50">
      <c r="A50" s="3" t="n">
        <v>49</v>
      </c>
      <c r="B50" s="8" t="n">
        <v>22</v>
      </c>
      <c r="C50" s="3" t="inlineStr">
        <is>
          <t>SIL</t>
        </is>
      </c>
      <c r="D50" s="3" t="inlineStr">
        <is>
          <t>Silver Miners</t>
        </is>
      </c>
      <c r="E50" s="3" t="inlineStr">
        <is>
          <t>Materials</t>
        </is>
      </c>
      <c r="F50" s="5" t="n">
        <v>74.66</v>
      </c>
      <c r="G50" s="6" t="n">
        <v>0.008101621972657069</v>
      </c>
      <c r="H50" s="6" t="n">
        <v>-0.08817774589027849</v>
      </c>
      <c r="I50" s="6" t="n">
        <v>-0.1324656544258291</v>
      </c>
      <c r="J50" s="6" t="n">
        <v>-0.1845783567836952</v>
      </c>
      <c r="K50" s="6" t="n">
        <v>-0.01033932600814391</v>
      </c>
      <c r="L50" s="6" t="n">
        <v>-0.2119429764428526</v>
      </c>
      <c r="M50" s="6" t="n">
        <v>-0.332533078055583</v>
      </c>
      <c r="N50" s="6" t="n">
        <v>0.117371663957115</v>
      </c>
      <c r="O50" s="6" t="n">
        <v>2.20071014697887</v>
      </c>
      <c r="P50" s="6" t="n">
        <v>0.4737215998866775</v>
      </c>
    </row>
    <row r="51">
      <c r="A51" s="3" t="n">
        <v>50</v>
      </c>
      <c r="B51" s="8" t="n">
        <v>20</v>
      </c>
      <c r="C51" s="3" t="inlineStr">
        <is>
          <t>ITA</t>
        </is>
      </c>
      <c r="D51" s="3" t="inlineStr">
        <is>
          <t>Aerospace &amp; Defense</t>
        </is>
      </c>
      <c r="E51" s="3" t="inlineStr">
        <is>
          <t>Industrials</t>
        </is>
      </c>
      <c r="F51" s="5" t="n">
        <v>207.16</v>
      </c>
      <c r="G51" s="6" t="n">
        <v>0.02437822300709747</v>
      </c>
      <c r="H51" s="6" t="n">
        <v>-0.002887903641655254</v>
      </c>
      <c r="I51" s="6" t="n">
        <v>0.005484661891509202</v>
      </c>
      <c r="J51" s="6" t="n">
        <v>-0.03110235242700454</v>
      </c>
      <c r="K51" s="6" t="n">
        <v>-0.1363365451001181</v>
      </c>
      <c r="L51" s="6" t="n">
        <v>-0.0382495970639507</v>
      </c>
      <c r="M51" s="6" t="n">
        <v>-0.110118963345635</v>
      </c>
      <c r="N51" s="6" t="n">
        <v>-0.0423294232534609</v>
      </c>
      <c r="O51" s="6" t="n">
        <v>0.9578826534107174</v>
      </c>
      <c r="P51" s="6" t="n">
        <v>0.2510141430495396</v>
      </c>
    </row>
    <row r="52">
      <c r="A52" s="3" t="n">
        <v>51</v>
      </c>
      <c r="B52" s="8" t="n">
        <v>19</v>
      </c>
      <c r="C52" s="3" t="inlineStr">
        <is>
          <t>ITB</t>
        </is>
      </c>
      <c r="D52" s="3" t="inlineStr">
        <is>
          <t>Home Construction</t>
        </is>
      </c>
      <c r="E52" s="3" t="inlineStr">
        <is>
          <t>Consumer Discretionary</t>
        </is>
      </c>
      <c r="F52" s="5" t="n">
        <v>89.87</v>
      </c>
      <c r="G52" s="6" t="n">
        <v>-0.00772879486144229</v>
      </c>
      <c r="H52" s="6" t="n">
        <v>0.05804097202112302</v>
      </c>
      <c r="I52" s="6" t="n">
        <v>0.07000839424177352</v>
      </c>
      <c r="J52" s="6" t="n">
        <v>0.004920076483336366</v>
      </c>
      <c r="K52" s="6" t="n">
        <v>-0.06654798531605544</v>
      </c>
      <c r="L52" s="6" t="n">
        <v>-0.08766096616176866</v>
      </c>
      <c r="M52" s="6" t="n">
        <v>-0.1302345768246429</v>
      </c>
      <c r="N52" s="6" t="n">
        <v>-0.1237589964020342</v>
      </c>
      <c r="O52" s="6" t="n">
        <v>0.2884815115458563</v>
      </c>
      <c r="P52" s="6" t="n">
        <v>0.08815993211771356</v>
      </c>
    </row>
    <row r="53">
      <c r="A53" s="3" t="n">
        <v>52</v>
      </c>
      <c r="B53" s="8" t="n">
        <v>17</v>
      </c>
      <c r="C53" s="3" t="inlineStr">
        <is>
          <t>XHB</t>
        </is>
      </c>
      <c r="D53" s="3" t="inlineStr">
        <is>
          <t>Homebuilders &amp; Residential Construction</t>
        </is>
      </c>
      <c r="E53" s="3" t="inlineStr">
        <is>
          <t>Consumer Discretionary</t>
        </is>
      </c>
      <c r="F53" s="5" t="n">
        <v>97.95</v>
      </c>
      <c r="G53" s="6" t="n">
        <v>-0.004370810298643724</v>
      </c>
      <c r="H53" s="6" t="n">
        <v>0.04058217153178023</v>
      </c>
      <c r="I53" s="6" t="n">
        <v>0.04146723838316224</v>
      </c>
      <c r="J53" s="6" t="n">
        <v>-0.003763250078625768</v>
      </c>
      <c r="K53" s="6" t="n">
        <v>-0.09168461930848193</v>
      </c>
      <c r="L53" s="6" t="n">
        <v>-0.09045773167129334</v>
      </c>
      <c r="M53" s="6" t="n">
        <v>-0.1118626724140376</v>
      </c>
      <c r="N53" s="6" t="n">
        <v>-0.0892456804529389</v>
      </c>
      <c r="O53" s="6" t="n">
        <v>0.4363340031786513</v>
      </c>
      <c r="P53" s="6" t="n">
        <v>0.1282841327671929</v>
      </c>
    </row>
    <row r="54">
      <c r="A54" s="3" t="n">
        <v>53</v>
      </c>
      <c r="B54" s="8" t="n">
        <v>15</v>
      </c>
      <c r="C54" s="3" t="inlineStr">
        <is>
          <t>AWAY</t>
        </is>
      </c>
      <c r="D54" s="3" t="inlineStr">
        <is>
          <t>Travel Tech &amp; Bookings</t>
        </is>
      </c>
      <c r="E54" s="3" t="inlineStr">
        <is>
          <t>Consumer Discretionary</t>
        </is>
      </c>
      <c r="F54" s="5" t="n">
        <v>16.93</v>
      </c>
      <c r="G54" s="6" t="n">
        <v>-0.005287905415233829</v>
      </c>
      <c r="H54" s="6" t="n">
        <v>-0.008201487530833829</v>
      </c>
      <c r="I54" s="6" t="n">
        <v>0.007798114201124084</v>
      </c>
      <c r="J54" s="6" t="n">
        <v>0.004568899387561443</v>
      </c>
      <c r="K54" s="6" t="n">
        <v>-0.04834179685741014</v>
      </c>
      <c r="L54" s="6" t="n">
        <v>-0.01826619418544606</v>
      </c>
      <c r="M54" s="6" t="n">
        <v>-0.1568724915587</v>
      </c>
      <c r="N54" s="6" t="n">
        <v>-0.2253134330442432</v>
      </c>
      <c r="O54" s="6" t="n">
        <v>0.1287449811792034</v>
      </c>
      <c r="P54" s="6" t="n">
        <v>0.04119468884245059</v>
      </c>
    </row>
    <row r="55">
      <c r="A55" s="3" t="n">
        <v>54</v>
      </c>
      <c r="B55" s="8" t="n">
        <v>14</v>
      </c>
      <c r="C55" s="3" t="inlineStr">
        <is>
          <t>XME</t>
        </is>
      </c>
      <c r="D55" s="3" t="inlineStr">
        <is>
          <t>Metals &amp; Mining</t>
        </is>
      </c>
      <c r="E55" s="3" t="inlineStr">
        <is>
          <t>Materials</t>
        </is>
      </c>
      <c r="F55" s="5" t="n">
        <v>96.01000000000001</v>
      </c>
      <c r="G55" s="6" t="n">
        <v>-0.00373560859283395</v>
      </c>
      <c r="H55" s="6" t="n">
        <v>-0.05287560881053932</v>
      </c>
      <c r="I55" s="6" t="n">
        <v>-0.08431088666226827</v>
      </c>
      <c r="J55" s="6" t="n">
        <v>-0.1137265714629803</v>
      </c>
      <c r="K55" s="6" t="n">
        <v>-0.055685715803657</v>
      </c>
      <c r="L55" s="6" t="n">
        <v>-0.1837301702616324</v>
      </c>
      <c r="M55" s="6" t="n">
        <v>-0.2375379747406817</v>
      </c>
      <c r="N55" s="6" t="n">
        <v>-0.03508327204947859</v>
      </c>
      <c r="O55" s="6" t="n">
        <v>0.9892630072400366</v>
      </c>
      <c r="P55" s="6" t="n">
        <v>0.2576623759671666</v>
      </c>
    </row>
    <row r="56">
      <c r="A56" s="3" t="n">
        <v>55</v>
      </c>
      <c r="B56" s="8" t="n">
        <v>12</v>
      </c>
      <c r="C56" s="3" t="inlineStr">
        <is>
          <t>LIT</t>
        </is>
      </c>
      <c r="D56" s="3" t="inlineStr">
        <is>
          <t>Lithium &amp; Battery Tech</t>
        </is>
      </c>
      <c r="E56" s="3" t="inlineStr">
        <is>
          <t>Materials</t>
        </is>
      </c>
      <c r="F56" s="5" t="n">
        <v>61.27</v>
      </c>
      <c r="G56" s="6" t="n">
        <v>0.009723140237650307</v>
      </c>
      <c r="H56" s="6" t="n">
        <v>-0.051694785962481</v>
      </c>
      <c r="I56" s="6" t="n">
        <v>-0.1038467457012543</v>
      </c>
      <c r="J56" s="6" t="n">
        <v>-0.1122862440197073</v>
      </c>
      <c r="K56" s="6" t="n">
        <v>-0.09644591264258562</v>
      </c>
      <c r="L56" s="6" t="n">
        <v>-0.2656238412182691</v>
      </c>
      <c r="M56" s="6" t="n">
        <v>-0.1738268402579385</v>
      </c>
      <c r="N56" s="6" t="n">
        <v>0.01098594331262315</v>
      </c>
      <c r="O56" s="6" t="n">
        <v>0.3155012890821889</v>
      </c>
      <c r="P56" s="6" t="n">
        <v>0.09571370222621134</v>
      </c>
    </row>
    <row r="57">
      <c r="A57" s="3" t="n">
        <v>56</v>
      </c>
      <c r="B57" s="8" t="n">
        <v>11</v>
      </c>
      <c r="C57" s="3" t="inlineStr">
        <is>
          <t>FINX</t>
        </is>
      </c>
      <c r="D57" s="3" t="inlineStr">
        <is>
          <t>FinTech &amp; Digital Payments</t>
        </is>
      </c>
      <c r="E57" s="3" t="inlineStr">
        <is>
          <t>Technology</t>
        </is>
      </c>
      <c r="F57" s="5" t="n">
        <v>23.97</v>
      </c>
      <c r="G57" s="6" t="n">
        <v>-0.01967203370275883</v>
      </c>
      <c r="H57" s="6" t="n">
        <v>-0.01032204818693594</v>
      </c>
      <c r="I57" s="6" t="n">
        <v>-0.0367691744871026</v>
      </c>
      <c r="J57" s="6" t="n">
        <v>-0.05477345241996512</v>
      </c>
      <c r="K57" s="6" t="n">
        <v>-0.04254046497099173</v>
      </c>
      <c r="L57" s="6" t="n">
        <v>-0.07004390643062641</v>
      </c>
      <c r="M57" s="6" t="n">
        <v>-0.168290110903626</v>
      </c>
      <c r="N57" s="6" t="n">
        <v>-0.3068744347443945</v>
      </c>
      <c r="O57" s="6" t="n">
        <v>0.3110821919823281</v>
      </c>
      <c r="P57" s="6" t="n">
        <v>0.09448540055718979</v>
      </c>
    </row>
    <row r="58">
      <c r="A58" s="3" t="n">
        <v>57</v>
      </c>
      <c r="B58" s="8" t="n">
        <v>9</v>
      </c>
      <c r="C58" s="3" t="inlineStr">
        <is>
          <t>ICLN</t>
        </is>
      </c>
      <c r="D58" s="3" t="inlineStr">
        <is>
          <t>Clean &amp; Renewable Energy</t>
        </is>
      </c>
      <c r="E58" s="3" t="inlineStr">
        <is>
          <t>Energy</t>
        </is>
      </c>
      <c r="F58" s="5" t="n">
        <v>15.55</v>
      </c>
      <c r="G58" s="6" t="n">
        <v>-0.02933834292127224</v>
      </c>
      <c r="H58" s="6" t="n">
        <v>-0.04366543838577774</v>
      </c>
      <c r="I58" s="6" t="n">
        <v>-0.09170564086075339</v>
      </c>
      <c r="J58" s="6" t="n">
        <v>-0.09750431782561808</v>
      </c>
      <c r="K58" s="6" t="n">
        <v>-0.1254218453200393</v>
      </c>
      <c r="L58" s="6" t="n">
        <v>-0.2200231390460927</v>
      </c>
      <c r="M58" s="6" t="n">
        <v>-0.1433111588620983</v>
      </c>
      <c r="N58" s="6" t="n">
        <v>-0.0590992201860433</v>
      </c>
      <c r="O58" s="6" t="n">
        <v>0.2223079472415315</v>
      </c>
      <c r="P58" s="6" t="n">
        <v>0.06920310631806736</v>
      </c>
    </row>
    <row r="59">
      <c r="A59" s="3" t="n">
        <v>58</v>
      </c>
      <c r="B59" s="8" t="n">
        <v>7</v>
      </c>
      <c r="C59" s="3" t="inlineStr">
        <is>
          <t>BETZ</t>
        </is>
      </c>
      <c r="D59" s="3" t="inlineStr">
        <is>
          <t>Casinos, Gaming &amp; Sports Betting</t>
        </is>
      </c>
      <c r="E59" s="3" t="inlineStr">
        <is>
          <t>Consumer Discretionary</t>
        </is>
      </c>
      <c r="F59" s="5" t="n">
        <v>16.74</v>
      </c>
      <c r="G59" s="6" t="n">
        <v>-0.01063831586076491</v>
      </c>
      <c r="H59" s="6" t="n">
        <v>0.01276546984545046</v>
      </c>
      <c r="I59" s="6" t="n">
        <v>0.006251508388791294</v>
      </c>
      <c r="J59" s="6" t="n">
        <v>-0.03682390221819831</v>
      </c>
      <c r="K59" s="6" t="n">
        <v>-0.1150816761034229</v>
      </c>
      <c r="L59" s="6" t="n">
        <v>-0.1346153903039363</v>
      </c>
      <c r="M59" s="6" t="n">
        <v>-0.1272158756639423</v>
      </c>
      <c r="N59" s="6" t="n">
        <v>-0.2199357396165709</v>
      </c>
      <c r="O59" s="6" t="n">
        <v>0.2360477286204199</v>
      </c>
      <c r="P59" s="6" t="n">
        <v>0.07319443903923695</v>
      </c>
    </row>
    <row r="60">
      <c r="A60" s="3" t="n">
        <v>59</v>
      </c>
      <c r="B60" s="8" t="n">
        <v>6</v>
      </c>
      <c r="C60" s="3" t="inlineStr">
        <is>
          <t>XAR</t>
        </is>
      </c>
      <c r="D60" s="3" t="inlineStr">
        <is>
          <t>Aerospace &amp; Defense (Equal Weight)</t>
        </is>
      </c>
      <c r="E60" s="3" t="inlineStr">
        <is>
          <t>Industrials</t>
        </is>
      </c>
      <c r="F60" s="5" t="n">
        <v>223.46</v>
      </c>
      <c r="G60" s="6" t="n">
        <v>0.02603431563673864</v>
      </c>
      <c r="H60" s="6" t="n">
        <v>0.0007165412446155095</v>
      </c>
      <c r="I60" s="6" t="n">
        <v>-0.009441862044419436</v>
      </c>
      <c r="J60" s="6" t="n">
        <v>-0.06681700305437033</v>
      </c>
      <c r="K60" s="6" t="n">
        <v>-0.1688775562902864</v>
      </c>
      <c r="L60" s="6" t="n">
        <v>-0.1279820312080393</v>
      </c>
      <c r="M60" s="6" t="n">
        <v>-0.2010079035684341</v>
      </c>
      <c r="N60" s="6" t="n">
        <v>-0.1048094833985084</v>
      </c>
      <c r="O60" s="6" t="n">
        <v>0.9900034250016696</v>
      </c>
      <c r="P60" s="6" t="n">
        <v>0.2578183935558036</v>
      </c>
    </row>
    <row r="61">
      <c r="A61" s="3" t="n">
        <v>60</v>
      </c>
      <c r="B61" s="8" t="n">
        <v>4</v>
      </c>
      <c r="C61" s="3" t="inlineStr">
        <is>
          <t>TAN</t>
        </is>
      </c>
      <c r="D61" s="3" t="inlineStr">
        <is>
          <t>Solar Energy</t>
        </is>
      </c>
      <c r="E61" s="3" t="inlineStr">
        <is>
          <t>Energy</t>
        </is>
      </c>
      <c r="F61" s="5" t="n">
        <v>40.76</v>
      </c>
      <c r="G61" s="6" t="n">
        <v>-0.007548122123070877</v>
      </c>
      <c r="H61" s="6" t="n">
        <v>-0.01331404099428124</v>
      </c>
      <c r="I61" s="6" t="n">
        <v>-0.06255752643375545</v>
      </c>
      <c r="J61" s="6" t="n">
        <v>-0.07489793347483331</v>
      </c>
      <c r="K61" s="6" t="n">
        <v>-0.2051482197384701</v>
      </c>
      <c r="L61" s="6" t="n">
        <v>-0.3010974188130771</v>
      </c>
      <c r="M61" s="6" t="n">
        <v>-0.2603883529285052</v>
      </c>
      <c r="N61" s="6" t="n">
        <v>-0.1525987606119568</v>
      </c>
      <c r="O61" s="6" t="n">
        <v>-0.04763029941696373</v>
      </c>
      <c r="P61" s="6" t="n">
        <v>-0.01613572780900918</v>
      </c>
    </row>
    <row r="62">
      <c r="A62" s="3" t="n">
        <v>61</v>
      </c>
      <c r="B62" s="8" t="n">
        <v>3</v>
      </c>
      <c r="C62" s="3" t="inlineStr">
        <is>
          <t>URA</t>
        </is>
      </c>
      <c r="D62" s="3" t="inlineStr">
        <is>
          <t>Uranium &amp; Nuclear Energy</t>
        </is>
      </c>
      <c r="E62" s="3" t="inlineStr">
        <is>
          <t>Energy</t>
        </is>
      </c>
      <c r="F62" s="5" t="n">
        <v>34.36</v>
      </c>
      <c r="G62" s="6" t="n">
        <v>0.007329228833966361</v>
      </c>
      <c r="H62" s="6" t="n">
        <v>-0.02580095933091486</v>
      </c>
      <c r="I62" s="6" t="n">
        <v>-0.08907742581162437</v>
      </c>
      <c r="J62" s="6" t="n">
        <v>-0.1601075351134446</v>
      </c>
      <c r="K62" s="6" t="n">
        <v>-0.1386312074181661</v>
      </c>
      <c r="L62" s="6" t="n">
        <v>-0.3787741862732285</v>
      </c>
      <c r="M62" s="6" t="n">
        <v>-0.3744765989539965</v>
      </c>
      <c r="N62" s="6" t="n">
        <v>-0.3009662474606746</v>
      </c>
      <c r="O62" s="6" t="n">
        <v>0.52005841089853</v>
      </c>
      <c r="P62" s="6" t="n">
        <v>0.1497941435934684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82"/>
  <sheetViews>
    <sheetView workbookViewId="0">
      <selection activeCell="A1" sqref="A1"/>
    </sheetView>
  </sheetViews>
  <sheetFormatPr baseColWidth="8" defaultRowHeight="15"/>
  <cols>
    <col width="50" customWidth="1" min="1" max="1"/>
    <col width="17" customWidth="1" min="2" max="2"/>
    <col width="38" customWidth="1" min="3" max="3"/>
    <col width="18" customWidth="1" min="4" max="4"/>
    <col width="24" customWidth="1" min="5" max="5"/>
    <col width="11" customWidth="1" min="6" max="6"/>
    <col width="18" customWidth="1" min="7" max="7"/>
    <col width="20" customWidth="1" min="8" max="8"/>
    <col width="41" customWidth="1" min="9" max="9"/>
    <col width="24" customWidth="1" min="10" max="10"/>
    <col width="27" customWidth="1" min="11" max="11"/>
  </cols>
  <sheetData>
    <row r="1">
      <c r="A1" s="9">
        <f>== IBD RELATIVE STRENGTH LEADERS &amp; LAGGARDS ===</f>
        <v/>
      </c>
    </row>
    <row r="2">
      <c r="A2" s="10" t="inlineStr">
        <is>
          <t>Top 10 - Rank</t>
        </is>
      </c>
      <c r="B2" s="10" t="inlineStr">
        <is>
          <t>Top 10 - Ticker</t>
        </is>
      </c>
      <c r="C2" s="10" t="inlineStr">
        <is>
          <t>Top 10 - Subgroup Name</t>
        </is>
      </c>
      <c r="D2" s="10" t="inlineStr">
        <is>
          <t>Top 10 - Sector</t>
        </is>
      </c>
      <c r="E2" s="10" t="inlineStr">
        <is>
          <t>Top 10 - IBD_RS_Rating</t>
        </is>
      </c>
      <c r="F2" t="inlineStr"/>
      <c r="G2" s="10" t="inlineStr">
        <is>
          <t>Bottom 10 - Rank</t>
        </is>
      </c>
      <c r="H2" s="10" t="inlineStr">
        <is>
          <t>Bottom 10 - Ticker</t>
        </is>
      </c>
      <c r="I2" s="10" t="inlineStr">
        <is>
          <t>Bottom 10 - Subgroup Name</t>
        </is>
      </c>
      <c r="J2" s="10" t="inlineStr">
        <is>
          <t>Bottom 10 - Sector</t>
        </is>
      </c>
      <c r="K2" s="10" t="inlineStr">
        <is>
          <t>Bottom 10 - IBD_RS_Rating</t>
        </is>
      </c>
    </row>
    <row r="3">
      <c r="A3" t="n">
        <v>1</v>
      </c>
      <c r="B3" t="inlineStr">
        <is>
          <t>HACK</t>
        </is>
      </c>
      <c r="C3" t="inlineStr">
        <is>
          <t>Cybersecurity</t>
        </is>
      </c>
      <c r="D3" t="inlineStr">
        <is>
          <t>Technology</t>
        </is>
      </c>
      <c r="E3" t="n">
        <v>99</v>
      </c>
      <c r="F3" t="inlineStr"/>
      <c r="G3" t="n">
        <v>52</v>
      </c>
      <c r="H3" t="inlineStr">
        <is>
          <t>URA</t>
        </is>
      </c>
      <c r="I3" t="inlineStr">
        <is>
          <t>Uranium &amp; Nuclear Energy</t>
        </is>
      </c>
      <c r="J3" t="inlineStr">
        <is>
          <t>Energy</t>
        </is>
      </c>
      <c r="K3" t="n">
        <v>3</v>
      </c>
    </row>
    <row r="4">
      <c r="A4" t="n">
        <v>2</v>
      </c>
      <c r="B4" t="inlineStr">
        <is>
          <t>IDNA</t>
        </is>
      </c>
      <c r="C4" t="inlineStr">
        <is>
          <t>Genomics &amp; Immunology</t>
        </is>
      </c>
      <c r="D4" t="inlineStr">
        <is>
          <t>Health Care</t>
        </is>
      </c>
      <c r="E4" t="n">
        <v>97</v>
      </c>
      <c r="F4" t="inlineStr"/>
      <c r="G4" t="n">
        <v>53</v>
      </c>
      <c r="H4" t="inlineStr">
        <is>
          <t>TAN</t>
        </is>
      </c>
      <c r="I4" t="inlineStr">
        <is>
          <t>Solar Energy</t>
        </is>
      </c>
      <c r="J4" t="inlineStr">
        <is>
          <t>Energy</t>
        </is>
      </c>
      <c r="K4" t="n">
        <v>4</v>
      </c>
    </row>
    <row r="5">
      <c r="A5" t="n">
        <v>3</v>
      </c>
      <c r="B5" t="inlineStr">
        <is>
          <t>CIBR</t>
        </is>
      </c>
      <c r="C5" t="inlineStr">
        <is>
          <t>Cybersecurity Leaders</t>
        </is>
      </c>
      <c r="D5" t="inlineStr">
        <is>
          <t>Technology</t>
        </is>
      </c>
      <c r="E5" t="n">
        <v>96</v>
      </c>
      <c r="F5" t="inlineStr"/>
      <c r="G5" t="n">
        <v>54</v>
      </c>
      <c r="H5" t="inlineStr">
        <is>
          <t>XAR</t>
        </is>
      </c>
      <c r="I5" t="inlineStr">
        <is>
          <t>Aerospace &amp; Defense (Equal Weight)</t>
        </is>
      </c>
      <c r="J5" t="inlineStr">
        <is>
          <t>Industrials</t>
        </is>
      </c>
      <c r="K5" t="n">
        <v>6</v>
      </c>
    </row>
    <row r="6">
      <c r="A6" t="n">
        <v>4</v>
      </c>
      <c r="B6" t="inlineStr">
        <is>
          <t>CLOU</t>
        </is>
      </c>
      <c r="C6" t="inlineStr">
        <is>
          <t>Cloud Computing &amp; SaaS</t>
        </is>
      </c>
      <c r="D6" t="inlineStr">
        <is>
          <t>Technology</t>
        </is>
      </c>
      <c r="E6" t="n">
        <v>94</v>
      </c>
      <c r="F6" t="inlineStr"/>
      <c r="G6" t="n">
        <v>55</v>
      </c>
      <c r="H6" t="inlineStr">
        <is>
          <t>BETZ</t>
        </is>
      </c>
      <c r="I6" t="inlineStr">
        <is>
          <t>Casinos, Gaming &amp; Sports Betting</t>
        </is>
      </c>
      <c r="J6" t="inlineStr">
        <is>
          <t>Consumer Discretionary</t>
        </is>
      </c>
      <c r="K6" t="n">
        <v>7</v>
      </c>
    </row>
    <row r="7">
      <c r="A7" t="n">
        <v>5</v>
      </c>
      <c r="B7" t="inlineStr">
        <is>
          <t>XOP</t>
        </is>
      </c>
      <c r="C7" t="inlineStr">
        <is>
          <t>Oil &amp; Gas Exploration &amp; Production</t>
        </is>
      </c>
      <c r="D7" t="inlineStr">
        <is>
          <t>Energy</t>
        </is>
      </c>
      <c r="E7" t="n">
        <v>93</v>
      </c>
      <c r="F7" t="inlineStr"/>
      <c r="G7" t="n">
        <v>56</v>
      </c>
      <c r="H7" t="inlineStr">
        <is>
          <t>ICLN</t>
        </is>
      </c>
      <c r="I7" t="inlineStr">
        <is>
          <t>Clean &amp; Renewable Energy</t>
        </is>
      </c>
      <c r="J7" t="inlineStr">
        <is>
          <t>Energy</t>
        </is>
      </c>
      <c r="K7" t="n">
        <v>9</v>
      </c>
    </row>
    <row r="8">
      <c r="A8" t="n">
        <v>6</v>
      </c>
      <c r="B8" t="inlineStr">
        <is>
          <t>FCG</t>
        </is>
      </c>
      <c r="C8" t="inlineStr">
        <is>
          <t>Natural Gas Producers</t>
        </is>
      </c>
      <c r="D8" t="inlineStr">
        <is>
          <t>Energy</t>
        </is>
      </c>
      <c r="E8" t="n">
        <v>91</v>
      </c>
      <c r="F8" t="inlineStr"/>
      <c r="G8" t="n">
        <v>57</v>
      </c>
      <c r="H8" t="inlineStr">
        <is>
          <t>FINX</t>
        </is>
      </c>
      <c r="I8" t="inlineStr">
        <is>
          <t>FinTech &amp; Digital Payments</t>
        </is>
      </c>
      <c r="J8" t="inlineStr">
        <is>
          <t>Technology</t>
        </is>
      </c>
      <c r="K8" t="n">
        <v>11</v>
      </c>
    </row>
    <row r="9">
      <c r="A9" t="n">
        <v>7</v>
      </c>
      <c r="B9" t="inlineStr">
        <is>
          <t>IBB</t>
        </is>
      </c>
      <c r="C9" t="inlineStr">
        <is>
          <t>Biotechnology (Market Weight)</t>
        </is>
      </c>
      <c r="D9" t="inlineStr">
        <is>
          <t>Health Care</t>
        </is>
      </c>
      <c r="E9" t="n">
        <v>89</v>
      </c>
      <c r="F9" t="inlineStr"/>
      <c r="G9" t="n">
        <v>58</v>
      </c>
      <c r="H9" t="inlineStr">
        <is>
          <t>LIT</t>
        </is>
      </c>
      <c r="I9" t="inlineStr">
        <is>
          <t>Lithium &amp; Battery Tech</t>
        </is>
      </c>
      <c r="J9" t="inlineStr">
        <is>
          <t>Materials</t>
        </is>
      </c>
      <c r="K9" t="n">
        <v>12</v>
      </c>
    </row>
    <row r="10">
      <c r="A10" t="n">
        <v>8</v>
      </c>
      <c r="B10" t="inlineStr">
        <is>
          <t>IGV</t>
        </is>
      </c>
      <c r="C10" t="inlineStr">
        <is>
          <t>Software &amp; Cloud Applications</t>
        </is>
      </c>
      <c r="D10" t="inlineStr">
        <is>
          <t>Technology</t>
        </is>
      </c>
      <c r="E10" t="n">
        <v>88</v>
      </c>
      <c r="F10" t="inlineStr"/>
      <c r="G10" t="n">
        <v>59</v>
      </c>
      <c r="H10" t="inlineStr">
        <is>
          <t>XME</t>
        </is>
      </c>
      <c r="I10" t="inlineStr">
        <is>
          <t>Metals &amp; Mining</t>
        </is>
      </c>
      <c r="J10" t="inlineStr">
        <is>
          <t>Materials</t>
        </is>
      </c>
      <c r="K10" t="n">
        <v>14</v>
      </c>
    </row>
    <row r="11">
      <c r="A11" t="n">
        <v>9</v>
      </c>
      <c r="B11" t="inlineStr">
        <is>
          <t>SMH</t>
        </is>
      </c>
      <c r="C11" t="inlineStr">
        <is>
          <t>Semiconductor Manufacturers</t>
        </is>
      </c>
      <c r="D11" t="inlineStr">
        <is>
          <t>Technology</t>
        </is>
      </c>
      <c r="E11" t="n">
        <v>86</v>
      </c>
      <c r="F11" t="inlineStr"/>
      <c r="G11" t="n">
        <v>60</v>
      </c>
      <c r="H11" t="inlineStr">
        <is>
          <t>AWAY</t>
        </is>
      </c>
      <c r="I11" t="inlineStr">
        <is>
          <t>Travel Tech &amp; Bookings</t>
        </is>
      </c>
      <c r="J11" t="inlineStr">
        <is>
          <t>Consumer Discretionary</t>
        </is>
      </c>
      <c r="K11" t="n">
        <v>15</v>
      </c>
    </row>
    <row r="12">
      <c r="A12" t="n">
        <v>10</v>
      </c>
      <c r="B12" t="inlineStr">
        <is>
          <t>NXTG</t>
        </is>
      </c>
      <c r="C12" t="inlineStr">
        <is>
          <t>NextGen 5G &amp; Telecom Infrastructure</t>
        </is>
      </c>
      <c r="D12" t="inlineStr">
        <is>
          <t>Communication</t>
        </is>
      </c>
      <c r="E12" t="n">
        <v>85</v>
      </c>
      <c r="F12" t="inlineStr"/>
      <c r="G12" t="n">
        <v>61</v>
      </c>
      <c r="H12" t="inlineStr">
        <is>
          <t>XHB</t>
        </is>
      </c>
      <c r="I12" t="inlineStr">
        <is>
          <t>Homebuilders &amp; Residential Construction</t>
        </is>
      </c>
      <c r="J12" t="inlineStr">
        <is>
          <t>Consumer Discretionary</t>
        </is>
      </c>
      <c r="K12" t="n">
        <v>17</v>
      </c>
    </row>
    <row r="13"/>
    <row r="14"/>
    <row r="15">
      <c r="A15" s="9">
        <f>== PAST 1 MONTH LEADERS &amp; LAGGARDS ===</f>
        <v/>
      </c>
    </row>
    <row r="16">
      <c r="A16" s="10" t="inlineStr">
        <is>
          <t>Top 10 - Rank</t>
        </is>
      </c>
      <c r="B16" s="10" t="inlineStr">
        <is>
          <t>Top 10 - Ticker</t>
        </is>
      </c>
      <c r="C16" s="10" t="inlineStr">
        <is>
          <t>Top 10 - Subgroup Name</t>
        </is>
      </c>
      <c r="D16" s="10" t="inlineStr">
        <is>
          <t>Top 10 - Sector</t>
        </is>
      </c>
      <c r="E16" s="10" t="inlineStr">
        <is>
          <t>Top 10 - 1M</t>
        </is>
      </c>
      <c r="F16" t="inlineStr"/>
      <c r="G16" s="10" t="inlineStr">
        <is>
          <t>Bottom 10 - Rank</t>
        </is>
      </c>
      <c r="H16" s="10" t="inlineStr">
        <is>
          <t>Bottom 10 - Ticker</t>
        </is>
      </c>
      <c r="I16" s="10" t="inlineStr">
        <is>
          <t>Bottom 10 - Subgroup Name</t>
        </is>
      </c>
      <c r="J16" s="10" t="inlineStr">
        <is>
          <t>Bottom 10 - Sector</t>
        </is>
      </c>
      <c r="K16" s="10" t="inlineStr">
        <is>
          <t>Bottom 10 - 1M</t>
        </is>
      </c>
    </row>
    <row r="17">
      <c r="A17" t="n">
        <v>1</v>
      </c>
      <c r="B17" t="inlineStr">
        <is>
          <t>XOP</t>
        </is>
      </c>
      <c r="C17" t="inlineStr">
        <is>
          <t>Oil &amp; Gas Exploration &amp; Production</t>
        </is>
      </c>
      <c r="D17" t="inlineStr">
        <is>
          <t>Energy</t>
        </is>
      </c>
      <c r="E17" s="11" t="n">
        <v>0.1287052375225981</v>
      </c>
      <c r="F17" t="inlineStr"/>
      <c r="G17" t="n">
        <v>52</v>
      </c>
      <c r="H17" t="inlineStr">
        <is>
          <t>BDRY</t>
        </is>
      </c>
      <c r="I17" t="inlineStr">
        <is>
          <t>Dry Bulk Shipping &amp; Maritime Freight</t>
        </is>
      </c>
      <c r="J17" t="inlineStr">
        <is>
          <t>Industrials</t>
        </is>
      </c>
      <c r="K17" s="11" t="n">
        <v>-0.195822458208895</v>
      </c>
    </row>
    <row r="18">
      <c r="A18" t="n">
        <v>2</v>
      </c>
      <c r="B18" t="inlineStr">
        <is>
          <t>FCG</t>
        </is>
      </c>
      <c r="C18" t="inlineStr">
        <is>
          <t>Natural Gas Producers</t>
        </is>
      </c>
      <c r="D18" t="inlineStr">
        <is>
          <t>Energy</t>
        </is>
      </c>
      <c r="E18" s="11" t="n">
        <v>0.1109588280518721</v>
      </c>
      <c r="F18" t="inlineStr"/>
      <c r="G18" t="n">
        <v>53</v>
      </c>
      <c r="H18" t="inlineStr">
        <is>
          <t>SIL</t>
        </is>
      </c>
      <c r="I18" t="inlineStr">
        <is>
          <t>Silver Miners</t>
        </is>
      </c>
      <c r="J18" t="inlineStr">
        <is>
          <t>Materials</t>
        </is>
      </c>
      <c r="K18" s="11" t="n">
        <v>-0.1845783567836952</v>
      </c>
    </row>
    <row r="19">
      <c r="A19" t="n">
        <v>3</v>
      </c>
      <c r="B19" t="inlineStr">
        <is>
          <t>HACK</t>
        </is>
      </c>
      <c r="C19" t="inlineStr">
        <is>
          <t>Cybersecurity</t>
        </is>
      </c>
      <c r="D19" t="inlineStr">
        <is>
          <t>Technology</t>
        </is>
      </c>
      <c r="E19" s="11" t="n">
        <v>0.1103507000960717</v>
      </c>
      <c r="F19" t="inlineStr"/>
      <c r="G19" t="n">
        <v>54</v>
      </c>
      <c r="H19" t="inlineStr">
        <is>
          <t>URA</t>
        </is>
      </c>
      <c r="I19" t="inlineStr">
        <is>
          <t>Uranium &amp; Nuclear Energy</t>
        </is>
      </c>
      <c r="J19" t="inlineStr">
        <is>
          <t>Energy</t>
        </is>
      </c>
      <c r="K19" s="11" t="n">
        <v>-0.1601075351134446</v>
      </c>
    </row>
    <row r="20">
      <c r="A20" t="n">
        <v>4</v>
      </c>
      <c r="B20" t="inlineStr">
        <is>
          <t>KBWP</t>
        </is>
      </c>
      <c r="C20" t="inlineStr">
        <is>
          <t>Insurance Underwriters</t>
        </is>
      </c>
      <c r="D20" t="inlineStr">
        <is>
          <t>Financials</t>
        </is>
      </c>
      <c r="E20" s="11" t="n">
        <v>0.1040052104626208</v>
      </c>
      <c r="F20" t="inlineStr"/>
      <c r="G20" t="n">
        <v>55</v>
      </c>
      <c r="H20" t="inlineStr">
        <is>
          <t>COPX</t>
        </is>
      </c>
      <c r="I20" t="inlineStr">
        <is>
          <t>Copper Miners</t>
        </is>
      </c>
      <c r="J20" t="inlineStr">
        <is>
          <t>Materials</t>
        </is>
      </c>
      <c r="K20" s="11" t="n">
        <v>-0.1489681228901619</v>
      </c>
    </row>
    <row r="21">
      <c r="A21" t="n">
        <v>5</v>
      </c>
      <c r="B21" t="inlineStr">
        <is>
          <t>CLOU</t>
        </is>
      </c>
      <c r="C21" t="inlineStr">
        <is>
          <t>Cloud Computing &amp; SaaS</t>
        </is>
      </c>
      <c r="D21" t="inlineStr">
        <is>
          <t>Technology</t>
        </is>
      </c>
      <c r="E21" s="11" t="n">
        <v>0.07925325989335508</v>
      </c>
      <c r="F21" t="inlineStr"/>
      <c r="G21" t="n">
        <v>56</v>
      </c>
      <c r="H21" t="inlineStr">
        <is>
          <t>XSD</t>
        </is>
      </c>
      <c r="I21" t="inlineStr">
        <is>
          <t>Semiconductors - Equal Weight</t>
        </is>
      </c>
      <c r="J21" t="inlineStr">
        <is>
          <t>Technology</t>
        </is>
      </c>
      <c r="K21" s="11" t="n">
        <v>-0.1435255145785014</v>
      </c>
    </row>
    <row r="22">
      <c r="A22" t="n">
        <v>6</v>
      </c>
      <c r="B22" t="inlineStr">
        <is>
          <t>XLU</t>
        </is>
      </c>
      <c r="C22" t="inlineStr">
        <is>
          <t>Electric &amp; Gas Utilities</t>
        </is>
      </c>
      <c r="D22" t="inlineStr">
        <is>
          <t>Utilities</t>
        </is>
      </c>
      <c r="E22" s="11" t="n">
        <v>0.07694257263155913</v>
      </c>
      <c r="F22" t="inlineStr"/>
      <c r="G22" t="n">
        <v>57</v>
      </c>
      <c r="H22" t="inlineStr">
        <is>
          <t>GDX</t>
        </is>
      </c>
      <c r="I22" t="inlineStr">
        <is>
          <t>Gold Miners</t>
        </is>
      </c>
      <c r="J22" t="inlineStr">
        <is>
          <t>Materials</t>
        </is>
      </c>
      <c r="K22" s="11" t="n">
        <v>-0.1275977791865819</v>
      </c>
    </row>
    <row r="23">
      <c r="A23" t="n">
        <v>7</v>
      </c>
      <c r="B23" t="inlineStr">
        <is>
          <t>IYK</t>
        </is>
      </c>
      <c r="C23" t="inlineStr">
        <is>
          <t>Consumer Staples Products</t>
        </is>
      </c>
      <c r="D23" t="inlineStr">
        <is>
          <t>Consumer Staples</t>
        </is>
      </c>
      <c r="E23" s="11" t="n">
        <v>0.07552951515603201</v>
      </c>
      <c r="F23" t="inlineStr"/>
      <c r="G23" t="n">
        <v>58</v>
      </c>
      <c r="H23" t="inlineStr">
        <is>
          <t>XME</t>
        </is>
      </c>
      <c r="I23" t="inlineStr">
        <is>
          <t>Metals &amp; Mining</t>
        </is>
      </c>
      <c r="J23" t="inlineStr">
        <is>
          <t>Materials</t>
        </is>
      </c>
      <c r="K23" s="11" t="n">
        <v>-0.1137265714629803</v>
      </c>
    </row>
    <row r="24">
      <c r="A24" t="n">
        <v>8</v>
      </c>
      <c r="B24" t="inlineStr">
        <is>
          <t>CIBR</t>
        </is>
      </c>
      <c r="C24" t="inlineStr">
        <is>
          <t>Cybersecurity Leaders</t>
        </is>
      </c>
      <c r="D24" t="inlineStr">
        <is>
          <t>Technology</t>
        </is>
      </c>
      <c r="E24" s="11" t="n">
        <v>0.07409612266525034</v>
      </c>
      <c r="F24" t="inlineStr"/>
      <c r="G24" t="n">
        <v>59</v>
      </c>
      <c r="H24" t="inlineStr">
        <is>
          <t>LIT</t>
        </is>
      </c>
      <c r="I24" t="inlineStr">
        <is>
          <t>Lithium &amp; Battery Tech</t>
        </is>
      </c>
      <c r="J24" t="inlineStr">
        <is>
          <t>Materials</t>
        </is>
      </c>
      <c r="K24" s="11" t="n">
        <v>-0.1122862440197073</v>
      </c>
    </row>
    <row r="25">
      <c r="A25" t="n">
        <v>9</v>
      </c>
      <c r="B25" t="inlineStr">
        <is>
          <t>IHF</t>
        </is>
      </c>
      <c r="C25" t="inlineStr">
        <is>
          <t>Health Care Providers &amp; Managed Care</t>
        </is>
      </c>
      <c r="D25" t="inlineStr">
        <is>
          <t>Health Care</t>
        </is>
      </c>
      <c r="E25" s="11" t="n">
        <v>0.07124954347921686</v>
      </c>
      <c r="F25" t="inlineStr"/>
      <c r="G25" t="n">
        <v>60</v>
      </c>
      <c r="H25" t="inlineStr">
        <is>
          <t>SMH</t>
        </is>
      </c>
      <c r="I25" t="inlineStr">
        <is>
          <t>Semiconductor Manufacturers</t>
        </is>
      </c>
      <c r="J25" t="inlineStr">
        <is>
          <t>Technology</t>
        </is>
      </c>
      <c r="K25" s="11" t="n">
        <v>-0.1070627847249901</v>
      </c>
    </row>
    <row r="26">
      <c r="A26" t="n">
        <v>10</v>
      </c>
      <c r="B26" t="inlineStr">
        <is>
          <t>IAK</t>
        </is>
      </c>
      <c r="C26" t="inlineStr">
        <is>
          <t>Property &amp; Casualty Insurance</t>
        </is>
      </c>
      <c r="D26" t="inlineStr">
        <is>
          <t>Financials</t>
        </is>
      </c>
      <c r="E26" s="11" t="n">
        <v>0.06857350327417588</v>
      </c>
      <c r="F26" t="inlineStr"/>
      <c r="G26" t="n">
        <v>61</v>
      </c>
      <c r="H26" t="inlineStr">
        <is>
          <t>ICLN</t>
        </is>
      </c>
      <c r="I26" t="inlineStr">
        <is>
          <t>Clean &amp; Renewable Energy</t>
        </is>
      </c>
      <c r="J26" t="inlineStr">
        <is>
          <t>Energy</t>
        </is>
      </c>
      <c r="K26" s="11" t="n">
        <v>-0.09750431782561808</v>
      </c>
    </row>
    <row r="27"/>
    <row r="28"/>
    <row r="29">
      <c r="A29" s="9">
        <f>== PAST 3 MONTHS LEADERS &amp; LAGGARDS ===</f>
        <v/>
      </c>
    </row>
    <row r="30">
      <c r="A30" s="10" t="inlineStr">
        <is>
          <t>Top 10 - Rank</t>
        </is>
      </c>
      <c r="B30" s="10" t="inlineStr">
        <is>
          <t>Top 10 - Ticker</t>
        </is>
      </c>
      <c r="C30" s="10" t="inlineStr">
        <is>
          <t>Top 10 - Subgroup Name</t>
        </is>
      </c>
      <c r="D30" s="10" t="inlineStr">
        <is>
          <t>Top 10 - Sector</t>
        </is>
      </c>
      <c r="E30" s="10" t="inlineStr">
        <is>
          <t>Top 10 - 3M</t>
        </is>
      </c>
      <c r="F30" t="inlineStr"/>
      <c r="G30" s="10" t="inlineStr">
        <is>
          <t>Bottom 10 - Rank</t>
        </is>
      </c>
      <c r="H30" s="10" t="inlineStr">
        <is>
          <t>Bottom 10 - Ticker</t>
        </is>
      </c>
      <c r="I30" s="10" t="inlineStr">
        <is>
          <t>Bottom 10 - Subgroup Name</t>
        </is>
      </c>
      <c r="J30" s="10" t="inlineStr">
        <is>
          <t>Bottom 10 - Sector</t>
        </is>
      </c>
      <c r="K30" s="10" t="inlineStr">
        <is>
          <t>Bottom 10 - 3M</t>
        </is>
      </c>
    </row>
    <row r="31">
      <c r="A31" t="n">
        <v>1</v>
      </c>
      <c r="B31" t="inlineStr">
        <is>
          <t>CLOU</t>
        </is>
      </c>
      <c r="C31" t="inlineStr">
        <is>
          <t>Cloud Computing &amp; SaaS</t>
        </is>
      </c>
      <c r="D31" t="inlineStr">
        <is>
          <t>Technology</t>
        </is>
      </c>
      <c r="E31" s="11" t="n">
        <v>0.3281317639775503</v>
      </c>
      <c r="F31" t="inlineStr"/>
      <c r="G31" t="n">
        <v>52</v>
      </c>
      <c r="H31" t="inlineStr">
        <is>
          <t>TAN</t>
        </is>
      </c>
      <c r="I31" t="inlineStr">
        <is>
          <t>Solar Energy</t>
        </is>
      </c>
      <c r="J31" t="inlineStr">
        <is>
          <t>Energy</t>
        </is>
      </c>
      <c r="K31" s="11" t="n">
        <v>-0.2051482197384701</v>
      </c>
    </row>
    <row r="32">
      <c r="A32" t="n">
        <v>2</v>
      </c>
      <c r="B32" t="inlineStr">
        <is>
          <t>IDNA</t>
        </is>
      </c>
      <c r="C32" t="inlineStr">
        <is>
          <t>Genomics &amp; Immunology</t>
        </is>
      </c>
      <c r="D32" t="inlineStr">
        <is>
          <t>Health Care</t>
        </is>
      </c>
      <c r="E32" s="11" t="n">
        <v>0.2784889891849816</v>
      </c>
      <c r="F32" t="inlineStr"/>
      <c r="G32" t="n">
        <v>53</v>
      </c>
      <c r="H32" t="inlineStr">
        <is>
          <t>XAR</t>
        </is>
      </c>
      <c r="I32" t="inlineStr">
        <is>
          <t>Aerospace &amp; Defense (Equal Weight)</t>
        </is>
      </c>
      <c r="J32" t="inlineStr">
        <is>
          <t>Industrials</t>
        </is>
      </c>
      <c r="K32" s="11" t="n">
        <v>-0.1688775562902864</v>
      </c>
    </row>
    <row r="33">
      <c r="A33" t="n">
        <v>3</v>
      </c>
      <c r="B33" t="inlineStr">
        <is>
          <t>IGV</t>
        </is>
      </c>
      <c r="C33" t="inlineStr">
        <is>
          <t>Software &amp; Cloud Applications</t>
        </is>
      </c>
      <c r="D33" t="inlineStr">
        <is>
          <t>Technology</t>
        </is>
      </c>
      <c r="E33" s="11" t="n">
        <v>0.26608314548183</v>
      </c>
      <c r="F33" t="inlineStr"/>
      <c r="G33" t="n">
        <v>54</v>
      </c>
      <c r="H33" t="inlineStr">
        <is>
          <t>URA</t>
        </is>
      </c>
      <c r="I33" t="inlineStr">
        <is>
          <t>Uranium &amp; Nuclear Energy</t>
        </is>
      </c>
      <c r="J33" t="inlineStr">
        <is>
          <t>Energy</t>
        </is>
      </c>
      <c r="K33" s="11" t="n">
        <v>-0.1386312074181661</v>
      </c>
    </row>
    <row r="34">
      <c r="A34" t="n">
        <v>4</v>
      </c>
      <c r="B34" t="inlineStr">
        <is>
          <t>HACK</t>
        </is>
      </c>
      <c r="C34" t="inlineStr">
        <is>
          <t>Cybersecurity</t>
        </is>
      </c>
      <c r="D34" t="inlineStr">
        <is>
          <t>Technology</t>
        </is>
      </c>
      <c r="E34" s="11" t="n">
        <v>0.2493820429818239</v>
      </c>
      <c r="F34" t="inlineStr"/>
      <c r="G34" t="n">
        <v>55</v>
      </c>
      <c r="H34" t="inlineStr">
        <is>
          <t>ITA</t>
        </is>
      </c>
      <c r="I34" t="inlineStr">
        <is>
          <t>Aerospace &amp; Defense</t>
        </is>
      </c>
      <c r="J34" t="inlineStr">
        <is>
          <t>Industrials</t>
        </is>
      </c>
      <c r="K34" s="11" t="n">
        <v>-0.1363365451001181</v>
      </c>
    </row>
    <row r="35">
      <c r="A35" t="n">
        <v>5</v>
      </c>
      <c r="B35" t="inlineStr">
        <is>
          <t>CIBR</t>
        </is>
      </c>
      <c r="C35" t="inlineStr">
        <is>
          <t>Cybersecurity Leaders</t>
        </is>
      </c>
      <c r="D35" t="inlineStr">
        <is>
          <t>Technology</t>
        </is>
      </c>
      <c r="E35" s="11" t="n">
        <v>0.2266190511987687</v>
      </c>
      <c r="F35" t="inlineStr"/>
      <c r="G35" t="n">
        <v>56</v>
      </c>
      <c r="H35" t="inlineStr">
        <is>
          <t>XTN</t>
        </is>
      </c>
      <c r="I35" t="inlineStr">
        <is>
          <t>Trucking &amp; Logistics</t>
        </is>
      </c>
      <c r="J35" t="inlineStr">
        <is>
          <t>Industrials</t>
        </is>
      </c>
      <c r="K35" s="11" t="n">
        <v>-0.1358838810483274</v>
      </c>
    </row>
    <row r="36">
      <c r="A36" t="n">
        <v>6</v>
      </c>
      <c r="B36" t="inlineStr">
        <is>
          <t>XOP</t>
        </is>
      </c>
      <c r="C36" t="inlineStr">
        <is>
          <t>Oil &amp; Gas Exploration &amp; Production</t>
        </is>
      </c>
      <c r="D36" t="inlineStr">
        <is>
          <t>Energy</t>
        </is>
      </c>
      <c r="E36" s="11" t="n">
        <v>0.1817112392661364</v>
      </c>
      <c r="F36" t="inlineStr"/>
      <c r="G36" t="n">
        <v>57</v>
      </c>
      <c r="H36" t="inlineStr">
        <is>
          <t>ICLN</t>
        </is>
      </c>
      <c r="I36" t="inlineStr">
        <is>
          <t>Clean &amp; Renewable Energy</t>
        </is>
      </c>
      <c r="J36" t="inlineStr">
        <is>
          <t>Energy</t>
        </is>
      </c>
      <c r="K36" s="11" t="n">
        <v>-0.1254218453200393</v>
      </c>
    </row>
    <row r="37">
      <c r="A37" t="n">
        <v>7</v>
      </c>
      <c r="B37" t="inlineStr">
        <is>
          <t>FCG</t>
        </is>
      </c>
      <c r="C37" t="inlineStr">
        <is>
          <t>Natural Gas Producers</t>
        </is>
      </c>
      <c r="D37" t="inlineStr">
        <is>
          <t>Energy</t>
        </is>
      </c>
      <c r="E37" s="11" t="n">
        <v>0.1209555436540488</v>
      </c>
      <c r="F37" t="inlineStr"/>
      <c r="G37" t="n">
        <v>58</v>
      </c>
      <c r="H37" t="inlineStr">
        <is>
          <t>JETS</t>
        </is>
      </c>
      <c r="I37" t="inlineStr">
        <is>
          <t>Airlines</t>
        </is>
      </c>
      <c r="J37" t="inlineStr">
        <is>
          <t>Industrials</t>
        </is>
      </c>
      <c r="K37" s="11" t="n">
        <v>-0.1219269112884558</v>
      </c>
    </row>
    <row r="38">
      <c r="A38" t="n">
        <v>8</v>
      </c>
      <c r="B38" t="inlineStr">
        <is>
          <t>IBB</t>
        </is>
      </c>
      <c r="C38" t="inlineStr">
        <is>
          <t>Biotechnology (Market Weight)</t>
        </is>
      </c>
      <c r="D38" t="inlineStr">
        <is>
          <t>Health Care</t>
        </is>
      </c>
      <c r="E38" s="11" t="n">
        <v>0.1092868358898491</v>
      </c>
      <c r="F38" t="inlineStr"/>
      <c r="G38" t="n">
        <v>59</v>
      </c>
      <c r="H38" t="inlineStr">
        <is>
          <t>BETZ</t>
        </is>
      </c>
      <c r="I38" t="inlineStr">
        <is>
          <t>Casinos, Gaming &amp; Sports Betting</t>
        </is>
      </c>
      <c r="J38" t="inlineStr">
        <is>
          <t>Consumer Discretionary</t>
        </is>
      </c>
      <c r="K38" s="11" t="n">
        <v>-0.1150816761034229</v>
      </c>
    </row>
    <row r="39">
      <c r="A39" t="n">
        <v>9</v>
      </c>
      <c r="B39" t="inlineStr">
        <is>
          <t>IHI</t>
        </is>
      </c>
      <c r="C39" t="inlineStr">
        <is>
          <t>Medical Devices &amp; Equipment</t>
        </is>
      </c>
      <c r="D39" t="inlineStr">
        <is>
          <t>Health Care</t>
        </is>
      </c>
      <c r="E39" s="11" t="n">
        <v>0.09747365296848454</v>
      </c>
      <c r="F39" t="inlineStr"/>
      <c r="G39" t="n">
        <v>60</v>
      </c>
      <c r="H39" t="inlineStr">
        <is>
          <t>FAN</t>
        </is>
      </c>
      <c r="I39" t="inlineStr">
        <is>
          <t>Wind Energy</t>
        </is>
      </c>
      <c r="J39" t="inlineStr">
        <is>
          <t>Energy</t>
        </is>
      </c>
      <c r="K39" s="11" t="n">
        <v>-0.09726553760064827</v>
      </c>
    </row>
    <row r="40">
      <c r="A40" t="n">
        <v>10</v>
      </c>
      <c r="B40" t="inlineStr">
        <is>
          <t>FDN</t>
        </is>
      </c>
      <c r="C40" t="inlineStr">
        <is>
          <t>Internet &amp; Digital Services</t>
        </is>
      </c>
      <c r="D40" t="inlineStr">
        <is>
          <t>Technology</t>
        </is>
      </c>
      <c r="E40" s="11" t="n">
        <v>0.08562927633515871</v>
      </c>
      <c r="F40" t="inlineStr"/>
      <c r="G40" t="n">
        <v>61</v>
      </c>
      <c r="H40" t="inlineStr">
        <is>
          <t>LIT</t>
        </is>
      </c>
      <c r="I40" t="inlineStr">
        <is>
          <t>Lithium &amp; Battery Tech</t>
        </is>
      </c>
      <c r="J40" t="inlineStr">
        <is>
          <t>Materials</t>
        </is>
      </c>
      <c r="K40" s="11" t="n">
        <v>-0.09644591264258562</v>
      </c>
    </row>
    <row r="41"/>
    <row r="42"/>
    <row r="43">
      <c r="A43" s="9">
        <f>== PAST 6 MONTHS LEADERS &amp; LAGGARDS ===</f>
        <v/>
      </c>
    </row>
    <row r="44">
      <c r="A44" s="10" t="inlineStr">
        <is>
          <t>Top 10 - Rank</t>
        </is>
      </c>
      <c r="B44" s="10" t="inlineStr">
        <is>
          <t>Top 10 - Ticker</t>
        </is>
      </c>
      <c r="C44" s="10" t="inlineStr">
        <is>
          <t>Top 10 - Subgroup Name</t>
        </is>
      </c>
      <c r="D44" s="10" t="inlineStr">
        <is>
          <t>Top 10 - Sector</t>
        </is>
      </c>
      <c r="E44" s="10" t="inlineStr">
        <is>
          <t>Top 10 - 6M</t>
        </is>
      </c>
      <c r="F44" t="inlineStr"/>
      <c r="G44" s="10" t="inlineStr">
        <is>
          <t>Bottom 10 - Rank</t>
        </is>
      </c>
      <c r="H44" s="10" t="inlineStr">
        <is>
          <t>Bottom 10 - Ticker</t>
        </is>
      </c>
      <c r="I44" s="10" t="inlineStr">
        <is>
          <t>Bottom 10 - Subgroup Name</t>
        </is>
      </c>
      <c r="J44" s="10" t="inlineStr">
        <is>
          <t>Bottom 10 - Sector</t>
        </is>
      </c>
      <c r="K44" s="10" t="inlineStr">
        <is>
          <t>Bottom 10 - 6M</t>
        </is>
      </c>
    </row>
    <row r="45">
      <c r="A45" t="n">
        <v>1</v>
      </c>
      <c r="B45" t="inlineStr">
        <is>
          <t>HACK</t>
        </is>
      </c>
      <c r="C45" t="inlineStr">
        <is>
          <t>Cybersecurity</t>
        </is>
      </c>
      <c r="D45" t="inlineStr">
        <is>
          <t>Technology</t>
        </is>
      </c>
      <c r="E45" s="11" t="n">
        <v>0.670820103148636</v>
      </c>
      <c r="F45" t="inlineStr"/>
      <c r="G45" t="n">
        <v>52</v>
      </c>
      <c r="H45" t="inlineStr">
        <is>
          <t>URA</t>
        </is>
      </c>
      <c r="I45" t="inlineStr">
        <is>
          <t>Uranium &amp; Nuclear Energy</t>
        </is>
      </c>
      <c r="J45" t="inlineStr">
        <is>
          <t>Energy</t>
        </is>
      </c>
      <c r="K45" s="11" t="n">
        <v>-0.3787741862732285</v>
      </c>
    </row>
    <row r="46">
      <c r="A46" t="n">
        <v>2</v>
      </c>
      <c r="B46" t="inlineStr">
        <is>
          <t>CIBR</t>
        </is>
      </c>
      <c r="C46" t="inlineStr">
        <is>
          <t>Cybersecurity Leaders</t>
        </is>
      </c>
      <c r="D46" t="inlineStr">
        <is>
          <t>Technology</t>
        </is>
      </c>
      <c r="E46" s="11" t="n">
        <v>0.6140150622540232</v>
      </c>
      <c r="F46" t="inlineStr"/>
      <c r="G46" t="n">
        <v>53</v>
      </c>
      <c r="H46" t="inlineStr">
        <is>
          <t>TAN</t>
        </is>
      </c>
      <c r="I46" t="inlineStr">
        <is>
          <t>Solar Energy</t>
        </is>
      </c>
      <c r="J46" t="inlineStr">
        <is>
          <t>Energy</t>
        </is>
      </c>
      <c r="K46" s="11" t="n">
        <v>-0.3010974188130771</v>
      </c>
    </row>
    <row r="47">
      <c r="A47" t="n">
        <v>3</v>
      </c>
      <c r="B47" t="inlineStr">
        <is>
          <t>CLOU</t>
        </is>
      </c>
      <c r="C47" t="inlineStr">
        <is>
          <t>Cloud Computing &amp; SaaS</t>
        </is>
      </c>
      <c r="D47" t="inlineStr">
        <is>
          <t>Technology</t>
        </is>
      </c>
      <c r="E47" s="11" t="n">
        <v>0.5537525586473455</v>
      </c>
      <c r="F47" t="inlineStr"/>
      <c r="G47" t="n">
        <v>54</v>
      </c>
      <c r="H47" t="inlineStr">
        <is>
          <t>LIT</t>
        </is>
      </c>
      <c r="I47" t="inlineStr">
        <is>
          <t>Lithium &amp; Battery Tech</t>
        </is>
      </c>
      <c r="J47" t="inlineStr">
        <is>
          <t>Materials</t>
        </is>
      </c>
      <c r="K47" s="11" t="n">
        <v>-0.2656238412182691</v>
      </c>
    </row>
    <row r="48">
      <c r="A48" t="n">
        <v>4</v>
      </c>
      <c r="B48" t="inlineStr">
        <is>
          <t>IDNA</t>
        </is>
      </c>
      <c r="C48" t="inlineStr">
        <is>
          <t>Genomics &amp; Immunology</t>
        </is>
      </c>
      <c r="D48" t="inlineStr">
        <is>
          <t>Health Care</t>
        </is>
      </c>
      <c r="E48" s="11" t="n">
        <v>0.3716700753557529</v>
      </c>
      <c r="F48" t="inlineStr"/>
      <c r="G48" t="n">
        <v>55</v>
      </c>
      <c r="H48" t="inlineStr">
        <is>
          <t>ICLN</t>
        </is>
      </c>
      <c r="I48" t="inlineStr">
        <is>
          <t>Clean &amp; Renewable Energy</t>
        </is>
      </c>
      <c r="J48" t="inlineStr">
        <is>
          <t>Energy</t>
        </is>
      </c>
      <c r="K48" s="11" t="n">
        <v>-0.2200231390460927</v>
      </c>
    </row>
    <row r="49">
      <c r="A49" t="n">
        <v>5</v>
      </c>
      <c r="B49" t="inlineStr">
        <is>
          <t>IGV</t>
        </is>
      </c>
      <c r="C49" t="inlineStr">
        <is>
          <t>Software &amp; Cloud Applications</t>
        </is>
      </c>
      <c r="D49" t="inlineStr">
        <is>
          <t>Technology</t>
        </is>
      </c>
      <c r="E49" s="11" t="n">
        <v>0.3076394857934548</v>
      </c>
      <c r="F49" t="inlineStr"/>
      <c r="G49" t="n">
        <v>56</v>
      </c>
      <c r="H49" t="inlineStr">
        <is>
          <t>SIL</t>
        </is>
      </c>
      <c r="I49" t="inlineStr">
        <is>
          <t>Silver Miners</t>
        </is>
      </c>
      <c r="J49" t="inlineStr">
        <is>
          <t>Materials</t>
        </is>
      </c>
      <c r="K49" s="11" t="n">
        <v>-0.2119429764428526</v>
      </c>
    </row>
    <row r="50">
      <c r="A50" t="n">
        <v>6</v>
      </c>
      <c r="B50" t="inlineStr">
        <is>
          <t>IHF</t>
        </is>
      </c>
      <c r="C50" t="inlineStr">
        <is>
          <t>Health Care Providers &amp; Managed Care</t>
        </is>
      </c>
      <c r="D50" t="inlineStr">
        <is>
          <t>Health Care</t>
        </is>
      </c>
      <c r="E50" s="11" t="n">
        <v>0.2871442274318732</v>
      </c>
      <c r="F50" t="inlineStr"/>
      <c r="G50" t="n">
        <v>57</v>
      </c>
      <c r="H50" t="inlineStr">
        <is>
          <t>XME</t>
        </is>
      </c>
      <c r="I50" t="inlineStr">
        <is>
          <t>Metals &amp; Mining</t>
        </is>
      </c>
      <c r="J50" t="inlineStr">
        <is>
          <t>Materials</t>
        </is>
      </c>
      <c r="K50" s="11" t="n">
        <v>-0.1837301702616324</v>
      </c>
    </row>
    <row r="51">
      <c r="A51" t="n">
        <v>7</v>
      </c>
      <c r="B51" t="inlineStr">
        <is>
          <t>XOP</t>
        </is>
      </c>
      <c r="C51" t="inlineStr">
        <is>
          <t>Oil &amp; Gas Exploration &amp; Production</t>
        </is>
      </c>
      <c r="D51" t="inlineStr">
        <is>
          <t>Energy</t>
        </is>
      </c>
      <c r="E51" s="11" t="n">
        <v>0.2299013299917196</v>
      </c>
      <c r="F51" t="inlineStr"/>
      <c r="G51" t="n">
        <v>58</v>
      </c>
      <c r="H51" t="inlineStr">
        <is>
          <t>FAN</t>
        </is>
      </c>
      <c r="I51" t="inlineStr">
        <is>
          <t>Wind Energy</t>
        </is>
      </c>
      <c r="J51" t="inlineStr">
        <is>
          <t>Energy</t>
        </is>
      </c>
      <c r="K51" s="11" t="n">
        <v>-0.1715809179003224</v>
      </c>
    </row>
    <row r="52">
      <c r="A52" t="n">
        <v>8</v>
      </c>
      <c r="B52" t="inlineStr">
        <is>
          <t>IBB</t>
        </is>
      </c>
      <c r="C52" t="inlineStr">
        <is>
          <t>Biotechnology (Market Weight)</t>
        </is>
      </c>
      <c r="D52" t="inlineStr">
        <is>
          <t>Health Care</t>
        </is>
      </c>
      <c r="E52" s="11" t="n">
        <v>0.2294178455918177</v>
      </c>
      <c r="F52" t="inlineStr"/>
      <c r="G52" t="n">
        <v>59</v>
      </c>
      <c r="H52" t="inlineStr">
        <is>
          <t>GDX</t>
        </is>
      </c>
      <c r="I52" t="inlineStr">
        <is>
          <t>Gold Miners</t>
        </is>
      </c>
      <c r="J52" t="inlineStr">
        <is>
          <t>Materials</t>
        </is>
      </c>
      <c r="K52" s="11" t="n">
        <v>-0.1411914374802068</v>
      </c>
    </row>
    <row r="53">
      <c r="A53" t="n">
        <v>9</v>
      </c>
      <c r="B53" t="inlineStr">
        <is>
          <t>KBWP</t>
        </is>
      </c>
      <c r="C53" t="inlineStr">
        <is>
          <t>Insurance Underwriters</t>
        </is>
      </c>
      <c r="D53" t="inlineStr">
        <is>
          <t>Financials</t>
        </is>
      </c>
      <c r="E53" s="11" t="n">
        <v>0.141472428629166</v>
      </c>
      <c r="F53" t="inlineStr"/>
      <c r="G53" t="n">
        <v>60</v>
      </c>
      <c r="H53" t="inlineStr">
        <is>
          <t>BETZ</t>
        </is>
      </c>
      <c r="I53" t="inlineStr">
        <is>
          <t>Casinos, Gaming &amp; Sports Betting</t>
        </is>
      </c>
      <c r="J53" t="inlineStr">
        <is>
          <t>Consumer Discretionary</t>
        </is>
      </c>
      <c r="K53" s="11" t="n">
        <v>-0.1346153903039363</v>
      </c>
    </row>
    <row r="54">
      <c r="A54" t="n">
        <v>10</v>
      </c>
      <c r="B54" t="inlineStr">
        <is>
          <t>NXTG</t>
        </is>
      </c>
      <c r="C54" t="inlineStr">
        <is>
          <t>NextGen 5G &amp; Telecom Infrastructure</t>
        </is>
      </c>
      <c r="D54" t="inlineStr">
        <is>
          <t>Communication</t>
        </is>
      </c>
      <c r="E54" s="11" t="n">
        <v>0.1361799438794478</v>
      </c>
      <c r="F54" t="inlineStr"/>
      <c r="G54" t="n">
        <v>61</v>
      </c>
      <c r="H54" t="inlineStr">
        <is>
          <t>XAR</t>
        </is>
      </c>
      <c r="I54" t="inlineStr">
        <is>
          <t>Aerospace &amp; Defense (Equal Weight)</t>
        </is>
      </c>
      <c r="J54" t="inlineStr">
        <is>
          <t>Industrials</t>
        </is>
      </c>
      <c r="K54" s="11" t="n">
        <v>-0.1279820312080393</v>
      </c>
    </row>
    <row r="55"/>
    <row r="56"/>
    <row r="57">
      <c r="A57" s="9">
        <f>== PAST 1 YEAR LEADERS &amp; LAGGARDS ===</f>
        <v/>
      </c>
    </row>
    <row r="58">
      <c r="A58" s="10" t="inlineStr">
        <is>
          <t>Top 10 - Rank</t>
        </is>
      </c>
      <c r="B58" s="10" t="inlineStr">
        <is>
          <t>Top 10 - Ticker</t>
        </is>
      </c>
      <c r="C58" s="10" t="inlineStr">
        <is>
          <t>Top 10 - Subgroup Name</t>
        </is>
      </c>
      <c r="D58" s="10" t="inlineStr">
        <is>
          <t>Top 10 - Sector</t>
        </is>
      </c>
      <c r="E58" s="10" t="inlineStr">
        <is>
          <t>Top 10 - 1Y</t>
        </is>
      </c>
      <c r="F58" t="inlineStr"/>
      <c r="G58" s="10" t="inlineStr">
        <is>
          <t>Bottom 10 - Rank</t>
        </is>
      </c>
      <c r="H58" s="10" t="inlineStr">
        <is>
          <t>Bottom 10 - Ticker</t>
        </is>
      </c>
      <c r="I58" s="10" t="inlineStr">
        <is>
          <t>Bottom 10 - Subgroup Name</t>
        </is>
      </c>
      <c r="J58" s="10" t="inlineStr">
        <is>
          <t>Bottom 10 - Sector</t>
        </is>
      </c>
      <c r="K58" s="10" t="inlineStr">
        <is>
          <t>Bottom 10 - 1Y</t>
        </is>
      </c>
    </row>
    <row r="59">
      <c r="A59" t="n">
        <v>1</v>
      </c>
      <c r="B59" t="inlineStr">
        <is>
          <t>IDNA</t>
        </is>
      </c>
      <c r="C59" t="inlineStr">
        <is>
          <t>Genomics &amp; Immunology</t>
        </is>
      </c>
      <c r="D59" t="inlineStr">
        <is>
          <t>Health Care</t>
        </is>
      </c>
      <c r="E59" s="11" t="n">
        <v>0.6618970274702762</v>
      </c>
      <c r="F59" t="inlineStr"/>
      <c r="G59" t="n">
        <v>52</v>
      </c>
      <c r="H59" t="inlineStr">
        <is>
          <t>FINX</t>
        </is>
      </c>
      <c r="I59" t="inlineStr">
        <is>
          <t>FinTech &amp; Digital Payments</t>
        </is>
      </c>
      <c r="J59" t="inlineStr">
        <is>
          <t>Technology</t>
        </is>
      </c>
      <c r="K59" s="11" t="n">
        <v>-0.3068744347443945</v>
      </c>
    </row>
    <row r="60">
      <c r="A60" t="n">
        <v>2</v>
      </c>
      <c r="B60" t="inlineStr">
        <is>
          <t>XOP</t>
        </is>
      </c>
      <c r="C60" t="inlineStr">
        <is>
          <t>Oil &amp; Gas Exploration &amp; Production</t>
        </is>
      </c>
      <c r="D60" t="inlineStr">
        <is>
          <t>Energy</t>
        </is>
      </c>
      <c r="E60" s="11" t="n">
        <v>0.6272032523448827</v>
      </c>
      <c r="F60" t="inlineStr"/>
      <c r="G60" t="n">
        <v>53</v>
      </c>
      <c r="H60" t="inlineStr">
        <is>
          <t>URA</t>
        </is>
      </c>
      <c r="I60" t="inlineStr">
        <is>
          <t>Uranium &amp; Nuclear Energy</t>
        </is>
      </c>
      <c r="J60" t="inlineStr">
        <is>
          <t>Energy</t>
        </is>
      </c>
      <c r="K60" s="11" t="n">
        <v>-0.3009662474606746</v>
      </c>
    </row>
    <row r="61">
      <c r="A61" t="n">
        <v>3</v>
      </c>
      <c r="B61" t="inlineStr">
        <is>
          <t>BDRY</t>
        </is>
      </c>
      <c r="C61" t="inlineStr">
        <is>
          <t>Dry Bulk Shipping &amp; Maritime Freight</t>
        </is>
      </c>
      <c r="D61" t="inlineStr">
        <is>
          <t>Industrials</t>
        </is>
      </c>
      <c r="E61" s="11" t="n">
        <v>0.5694267317829829</v>
      </c>
      <c r="F61" t="inlineStr"/>
      <c r="G61" t="n">
        <v>54</v>
      </c>
      <c r="H61" t="inlineStr">
        <is>
          <t>AWAY</t>
        </is>
      </c>
      <c r="I61" t="inlineStr">
        <is>
          <t>Travel Tech &amp; Bookings</t>
        </is>
      </c>
      <c r="J61" t="inlineStr">
        <is>
          <t>Consumer Discretionary</t>
        </is>
      </c>
      <c r="K61" s="11" t="n">
        <v>-0.2253134330442432</v>
      </c>
    </row>
    <row r="62">
      <c r="A62" t="n">
        <v>4</v>
      </c>
      <c r="B62" t="inlineStr">
        <is>
          <t>SMH</t>
        </is>
      </c>
      <c r="C62" t="inlineStr">
        <is>
          <t>Semiconductor Manufacturers</t>
        </is>
      </c>
      <c r="D62" t="inlineStr">
        <is>
          <t>Technology</t>
        </is>
      </c>
      <c r="E62" s="11" t="n">
        <v>0.5472610744202611</v>
      </c>
      <c r="F62" t="inlineStr"/>
      <c r="G62" t="n">
        <v>55</v>
      </c>
      <c r="H62" t="inlineStr">
        <is>
          <t>BETZ</t>
        </is>
      </c>
      <c r="I62" t="inlineStr">
        <is>
          <t>Casinos, Gaming &amp; Sports Betting</t>
        </is>
      </c>
      <c r="J62" t="inlineStr">
        <is>
          <t>Consumer Discretionary</t>
        </is>
      </c>
      <c r="K62" s="11" t="n">
        <v>-0.2199357396165709</v>
      </c>
    </row>
    <row r="63">
      <c r="A63" t="n">
        <v>5</v>
      </c>
      <c r="B63" t="inlineStr">
        <is>
          <t>HACK</t>
        </is>
      </c>
      <c r="C63" t="inlineStr">
        <is>
          <t>Cybersecurity</t>
        </is>
      </c>
      <c r="D63" t="inlineStr">
        <is>
          <t>Technology</t>
        </is>
      </c>
      <c r="E63" s="11" t="n">
        <v>0.4891509382577419</v>
      </c>
      <c r="F63" t="inlineStr"/>
      <c r="G63" t="n">
        <v>56</v>
      </c>
      <c r="H63" t="inlineStr">
        <is>
          <t>TAN</t>
        </is>
      </c>
      <c r="I63" t="inlineStr">
        <is>
          <t>Solar Energy</t>
        </is>
      </c>
      <c r="J63" t="inlineStr">
        <is>
          <t>Energy</t>
        </is>
      </c>
      <c r="K63" s="11" t="n">
        <v>-0.1525987606119568</v>
      </c>
    </row>
    <row r="64">
      <c r="A64" t="n">
        <v>6</v>
      </c>
      <c r="B64" t="inlineStr">
        <is>
          <t>OIH</t>
        </is>
      </c>
      <c r="C64" t="inlineStr">
        <is>
          <t>Oil Services &amp; Equipment</t>
        </is>
      </c>
      <c r="D64" t="inlineStr">
        <is>
          <t>Energy</t>
        </is>
      </c>
      <c r="E64" s="11" t="n">
        <v>0.4781889425083481</v>
      </c>
      <c r="F64" t="inlineStr"/>
      <c r="G64" t="n">
        <v>57</v>
      </c>
      <c r="H64" t="inlineStr">
        <is>
          <t>ITB</t>
        </is>
      </c>
      <c r="I64" t="inlineStr">
        <is>
          <t>Home Construction</t>
        </is>
      </c>
      <c r="J64" t="inlineStr">
        <is>
          <t>Consumer Discretionary</t>
        </is>
      </c>
      <c r="K64" s="11" t="n">
        <v>-0.1237589964020342</v>
      </c>
    </row>
    <row r="65">
      <c r="A65" t="n">
        <v>7</v>
      </c>
      <c r="B65" t="inlineStr">
        <is>
          <t>FCG</t>
        </is>
      </c>
      <c r="C65" t="inlineStr">
        <is>
          <t>Natural Gas Producers</t>
        </is>
      </c>
      <c r="D65" t="inlineStr">
        <is>
          <t>Energy</t>
        </is>
      </c>
      <c r="E65" s="11" t="n">
        <v>0.4704329147860715</v>
      </c>
      <c r="F65" t="inlineStr"/>
      <c r="G65" t="n">
        <v>58</v>
      </c>
      <c r="H65" t="inlineStr">
        <is>
          <t>BOTZ</t>
        </is>
      </c>
      <c r="I65" t="inlineStr">
        <is>
          <t>Robotics &amp; Artificial Intelligence</t>
        </is>
      </c>
      <c r="J65" t="inlineStr">
        <is>
          <t>Technology</t>
        </is>
      </c>
      <c r="K65" s="11" t="n">
        <v>-0.1174200952185798</v>
      </c>
    </row>
    <row r="66">
      <c r="A66" t="n">
        <v>8</v>
      </c>
      <c r="B66" t="inlineStr">
        <is>
          <t>CIBR</t>
        </is>
      </c>
      <c r="C66" t="inlineStr">
        <is>
          <t>Cybersecurity Leaders</t>
        </is>
      </c>
      <c r="D66" t="inlineStr">
        <is>
          <t>Technology</t>
        </is>
      </c>
      <c r="E66" s="11" t="n">
        <v>0.4070004627256381</v>
      </c>
      <c r="F66" t="inlineStr"/>
      <c r="G66" t="n">
        <v>59</v>
      </c>
      <c r="H66" t="inlineStr">
        <is>
          <t>IHI</t>
        </is>
      </c>
      <c r="I66" t="inlineStr">
        <is>
          <t>Medical Devices &amp; Equipment</t>
        </is>
      </c>
      <c r="J66" t="inlineStr">
        <is>
          <t>Health Care</t>
        </is>
      </c>
      <c r="K66" s="11" t="n">
        <v>-0.1060642737066441</v>
      </c>
    </row>
    <row r="67">
      <c r="A67" t="n">
        <v>9</v>
      </c>
      <c r="B67" t="inlineStr">
        <is>
          <t>XBI</t>
        </is>
      </c>
      <c r="C67" t="inlineStr">
        <is>
          <t>Biotechnology (Equal Weight)</t>
        </is>
      </c>
      <c r="D67" t="inlineStr">
        <is>
          <t>Health Care</t>
        </is>
      </c>
      <c r="E67" s="11" t="n">
        <v>0.3941876248836964</v>
      </c>
      <c r="F67" t="inlineStr"/>
      <c r="G67" t="n">
        <v>60</v>
      </c>
      <c r="H67" t="inlineStr">
        <is>
          <t>XAR</t>
        </is>
      </c>
      <c r="I67" t="inlineStr">
        <is>
          <t>Aerospace &amp; Defense (Equal Weight)</t>
        </is>
      </c>
      <c r="J67" t="inlineStr">
        <is>
          <t>Industrials</t>
        </is>
      </c>
      <c r="K67" s="11" t="n">
        <v>-0.1048094833985084</v>
      </c>
    </row>
    <row r="68">
      <c r="A68" t="n">
        <v>10</v>
      </c>
      <c r="B68" t="inlineStr">
        <is>
          <t>NXTG</t>
        </is>
      </c>
      <c r="C68" t="inlineStr">
        <is>
          <t>NextGen 5G &amp; Telecom Infrastructure</t>
        </is>
      </c>
      <c r="D68" t="inlineStr">
        <is>
          <t>Communication</t>
        </is>
      </c>
      <c r="E68" s="11" t="n">
        <v>0.3850522010382653</v>
      </c>
      <c r="F68" t="inlineStr"/>
      <c r="G68" t="n">
        <v>61</v>
      </c>
      <c r="H68" t="inlineStr">
        <is>
          <t>XLC</t>
        </is>
      </c>
      <c r="I68" t="inlineStr">
        <is>
          <t>Media &amp; Interactive Media</t>
        </is>
      </c>
      <c r="J68" t="inlineStr">
        <is>
          <t>Communication</t>
        </is>
      </c>
      <c r="K68" s="11" t="n">
        <v>-0.09012599695871482</v>
      </c>
    </row>
    <row r="69"/>
    <row r="70"/>
    <row r="71">
      <c r="A71" s="9">
        <f>== PAST 3 YEARS LEADERS &amp; LAGGARDS ===</f>
        <v/>
      </c>
    </row>
    <row r="72">
      <c r="A72" s="10" t="inlineStr">
        <is>
          <t>Top 10 - Rank</t>
        </is>
      </c>
      <c r="B72" s="10" t="inlineStr">
        <is>
          <t>Top 10 - Ticker</t>
        </is>
      </c>
      <c r="C72" s="10" t="inlineStr">
        <is>
          <t>Top 10 - Subgroup Name</t>
        </is>
      </c>
      <c r="D72" s="10" t="inlineStr">
        <is>
          <t>Top 10 - Sector</t>
        </is>
      </c>
      <c r="E72" s="10" t="inlineStr">
        <is>
          <t>Top 10 - 3Y</t>
        </is>
      </c>
      <c r="F72" t="inlineStr"/>
      <c r="G72" s="10" t="inlineStr">
        <is>
          <t>Bottom 10 - Rank</t>
        </is>
      </c>
      <c r="H72" s="10" t="inlineStr">
        <is>
          <t>Bottom 10 - Ticker</t>
        </is>
      </c>
      <c r="I72" s="10" t="inlineStr">
        <is>
          <t>Bottom 10 - Subgroup Name</t>
        </is>
      </c>
      <c r="J72" s="10" t="inlineStr">
        <is>
          <t>Bottom 10 - Sector</t>
        </is>
      </c>
      <c r="K72" s="10" t="inlineStr">
        <is>
          <t>Bottom 10 - 3Y</t>
        </is>
      </c>
    </row>
    <row r="73">
      <c r="A73" t="n">
        <v>1</v>
      </c>
      <c r="B73" t="inlineStr">
        <is>
          <t>SMH</t>
        </is>
      </c>
      <c r="C73" t="inlineStr">
        <is>
          <t>Semiconductor Manufacturers</t>
        </is>
      </c>
      <c r="D73" t="inlineStr">
        <is>
          <t>Technology</t>
        </is>
      </c>
      <c r="E73" s="11" t="n">
        <v>2.993908704377731</v>
      </c>
      <c r="F73" t="inlineStr"/>
      <c r="G73" t="n">
        <v>52</v>
      </c>
      <c r="H73" t="inlineStr">
        <is>
          <t>TAN</t>
        </is>
      </c>
      <c r="I73" t="inlineStr">
        <is>
          <t>Solar Energy</t>
        </is>
      </c>
      <c r="J73" t="inlineStr">
        <is>
          <t>Energy</t>
        </is>
      </c>
      <c r="K73" s="11" t="n">
        <v>-0.04763029941696373</v>
      </c>
    </row>
    <row r="74">
      <c r="A74" t="n">
        <v>2</v>
      </c>
      <c r="B74" t="inlineStr">
        <is>
          <t>SIL</t>
        </is>
      </c>
      <c r="C74" t="inlineStr">
        <is>
          <t>Silver Miners</t>
        </is>
      </c>
      <c r="D74" t="inlineStr">
        <is>
          <t>Materials</t>
        </is>
      </c>
      <c r="E74" s="11" t="n">
        <v>2.20071014697887</v>
      </c>
      <c r="F74" t="inlineStr"/>
      <c r="G74" t="n">
        <v>53</v>
      </c>
      <c r="H74" t="inlineStr">
        <is>
          <t>WOOD</t>
        </is>
      </c>
      <c r="I74" t="inlineStr">
        <is>
          <t>Timber &amp; Forestry</t>
        </is>
      </c>
      <c r="J74" t="inlineStr">
        <is>
          <t>Materials</t>
        </is>
      </c>
      <c r="K74" s="11" t="n">
        <v>-0.009085527973953123</v>
      </c>
    </row>
    <row r="75">
      <c r="A75" t="n">
        <v>3</v>
      </c>
      <c r="B75" t="inlineStr">
        <is>
          <t>GDX</t>
        </is>
      </c>
      <c r="C75" t="inlineStr">
        <is>
          <t>Gold Miners</t>
        </is>
      </c>
      <c r="D75" t="inlineStr">
        <is>
          <t>Materials</t>
        </is>
      </c>
      <c r="E75" s="11" t="n">
        <v>1.942576417928335</v>
      </c>
      <c r="F75" t="inlineStr"/>
      <c r="G75" t="n">
        <v>54</v>
      </c>
      <c r="H75" t="inlineStr">
        <is>
          <t>BIZD</t>
        </is>
      </c>
      <c r="I75" t="inlineStr">
        <is>
          <t>Business Development Companies (BDCs)</t>
        </is>
      </c>
      <c r="J75" t="inlineStr">
        <is>
          <t>Financials</t>
        </is>
      </c>
      <c r="K75" s="11" t="n">
        <v>0.1232655758128967</v>
      </c>
    </row>
    <row r="76">
      <c r="A76" t="n">
        <v>4</v>
      </c>
      <c r="B76" t="inlineStr">
        <is>
          <t>XSD</t>
        </is>
      </c>
      <c r="C76" t="inlineStr">
        <is>
          <t>Semiconductors - Equal Weight</t>
        </is>
      </c>
      <c r="D76" t="inlineStr">
        <is>
          <t>Technology</t>
        </is>
      </c>
      <c r="E76" s="11" t="n">
        <v>1.732174475690221</v>
      </c>
      <c r="F76" t="inlineStr"/>
      <c r="G76" t="n">
        <v>55</v>
      </c>
      <c r="H76" t="inlineStr">
        <is>
          <t>AWAY</t>
        </is>
      </c>
      <c r="I76" t="inlineStr">
        <is>
          <t>Travel Tech &amp; Bookings</t>
        </is>
      </c>
      <c r="J76" t="inlineStr">
        <is>
          <t>Consumer Discretionary</t>
        </is>
      </c>
      <c r="K76" s="11" t="n">
        <v>0.1287449811792034</v>
      </c>
    </row>
    <row r="77">
      <c r="A77" t="n">
        <v>5</v>
      </c>
      <c r="B77" t="inlineStr">
        <is>
          <t>HACK</t>
        </is>
      </c>
      <c r="C77" t="inlineStr">
        <is>
          <t>Cybersecurity</t>
        </is>
      </c>
      <c r="D77" t="inlineStr">
        <is>
          <t>Technology</t>
        </is>
      </c>
      <c r="E77" s="11" t="n">
        <v>1.628204685112591</v>
      </c>
      <c r="F77" t="inlineStr"/>
      <c r="G77" t="n">
        <v>56</v>
      </c>
      <c r="H77" t="inlineStr">
        <is>
          <t>ICLN</t>
        </is>
      </c>
      <c r="I77" t="inlineStr">
        <is>
          <t>Clean &amp; Renewable Energy</t>
        </is>
      </c>
      <c r="J77" t="inlineStr">
        <is>
          <t>Energy</t>
        </is>
      </c>
      <c r="K77" s="11" t="n">
        <v>0.2223079472415315</v>
      </c>
    </row>
    <row r="78">
      <c r="A78" t="n">
        <v>6</v>
      </c>
      <c r="B78" t="inlineStr">
        <is>
          <t>CIBR</t>
        </is>
      </c>
      <c r="C78" t="inlineStr">
        <is>
          <t>Cybersecurity Leaders</t>
        </is>
      </c>
      <c r="D78" t="inlineStr">
        <is>
          <t>Technology</t>
        </is>
      </c>
      <c r="E78" s="11" t="n">
        <v>1.512055878387407</v>
      </c>
      <c r="F78" t="inlineStr"/>
      <c r="G78" t="n">
        <v>57</v>
      </c>
      <c r="H78" t="inlineStr">
        <is>
          <t>PBJ</t>
        </is>
      </c>
      <c r="I78" t="inlineStr">
        <is>
          <t>Food &amp; Beverage Manufacturers</t>
        </is>
      </c>
      <c r="J78" t="inlineStr">
        <is>
          <t>Consumer Staples</t>
        </is>
      </c>
      <c r="K78" s="11" t="n">
        <v>0.2255663665761982</v>
      </c>
    </row>
    <row r="79">
      <c r="A79" t="n">
        <v>7</v>
      </c>
      <c r="B79" t="inlineStr">
        <is>
          <t>NXTG</t>
        </is>
      </c>
      <c r="C79" t="inlineStr">
        <is>
          <t>NextGen 5G &amp; Telecom Infrastructure</t>
        </is>
      </c>
      <c r="D79" t="inlineStr">
        <is>
          <t>Communication</t>
        </is>
      </c>
      <c r="E79" s="11" t="n">
        <v>1.423609325132138</v>
      </c>
      <c r="F79" t="inlineStr"/>
      <c r="G79" t="n">
        <v>58</v>
      </c>
      <c r="H79" t="inlineStr">
        <is>
          <t>BETZ</t>
        </is>
      </c>
      <c r="I79" t="inlineStr">
        <is>
          <t>Casinos, Gaming &amp; Sports Betting</t>
        </is>
      </c>
      <c r="J79" t="inlineStr">
        <is>
          <t>Consumer Discretionary</t>
        </is>
      </c>
      <c r="K79" s="11" t="n">
        <v>0.2360477286204199</v>
      </c>
    </row>
    <row r="80">
      <c r="A80" t="n">
        <v>8</v>
      </c>
      <c r="B80" t="inlineStr">
        <is>
          <t>BDRY</t>
        </is>
      </c>
      <c r="C80" t="inlineStr">
        <is>
          <t>Dry Bulk Shipping &amp; Maritime Freight</t>
        </is>
      </c>
      <c r="D80" t="inlineStr">
        <is>
          <t>Industrials</t>
        </is>
      </c>
      <c r="E80" s="11" t="n">
        <v>1.37837839828184</v>
      </c>
      <c r="F80" t="inlineStr"/>
      <c r="G80" t="n">
        <v>59</v>
      </c>
      <c r="H80" t="inlineStr">
        <is>
          <t>IHI</t>
        </is>
      </c>
      <c r="I80" t="inlineStr">
        <is>
          <t>Medical Devices &amp; Equipment</t>
        </is>
      </c>
      <c r="J80" t="inlineStr">
        <is>
          <t>Health Care</t>
        </is>
      </c>
      <c r="K80" s="11" t="n">
        <v>0.2506384768366221</v>
      </c>
    </row>
    <row r="81">
      <c r="A81" t="n">
        <v>9</v>
      </c>
      <c r="B81" t="inlineStr">
        <is>
          <t>IDNA</t>
        </is>
      </c>
      <c r="C81" t="inlineStr">
        <is>
          <t>Genomics &amp; Immunology</t>
        </is>
      </c>
      <c r="D81" t="inlineStr">
        <is>
          <t>Health Care</t>
        </is>
      </c>
      <c r="E81" s="11" t="n">
        <v>1.352687835047931</v>
      </c>
      <c r="F81" t="inlineStr"/>
      <c r="G81" t="n">
        <v>60</v>
      </c>
      <c r="H81" t="inlineStr">
        <is>
          <t>IHF</t>
        </is>
      </c>
      <c r="I81" t="inlineStr">
        <is>
          <t>Health Care Providers &amp; Managed Care</t>
        </is>
      </c>
      <c r="J81" t="inlineStr">
        <is>
          <t>Health Care</t>
        </is>
      </c>
      <c r="K81" s="11" t="n">
        <v>0.2542152384298269</v>
      </c>
    </row>
    <row r="82">
      <c r="A82" t="n">
        <v>10</v>
      </c>
      <c r="B82" t="inlineStr">
        <is>
          <t>COPX</t>
        </is>
      </c>
      <c r="C82" t="inlineStr">
        <is>
          <t>Copper Miners</t>
        </is>
      </c>
      <c r="D82" t="inlineStr">
        <is>
          <t>Materials</t>
        </is>
      </c>
      <c r="E82" s="11" t="n">
        <v>1.349029222570719</v>
      </c>
      <c r="F82" t="inlineStr"/>
      <c r="G82" t="n">
        <v>61</v>
      </c>
      <c r="H82" t="inlineStr">
        <is>
          <t>ITB</t>
        </is>
      </c>
      <c r="I82" t="inlineStr">
        <is>
          <t>Home Construction</t>
        </is>
      </c>
      <c r="J82" t="inlineStr">
        <is>
          <t>Consumer Discretionary</t>
        </is>
      </c>
      <c r="K82" s="11" t="n">
        <v>0.2884815115458563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2026-10-27T02:59:35Z</dcterms:created>
  <dcterms:modified xmlns:dcterms="http://purl.org/dc/terms/" xmlns:xsi="http://www.w3.org/2001/XMLSchema-instance" xsi:type="dcterms:W3CDTF">2026-10-27T02:59:35Z</dcterms:modified>
</cp:coreProperties>
</file>