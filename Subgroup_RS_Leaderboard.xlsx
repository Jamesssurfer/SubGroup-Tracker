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group_RS_Leaderboard" sheetId="1" state="visible" r:id="rId1"/>
    <sheet xmlns:r="http://schemas.openxmlformats.org/officeDocument/2006/relationships" name="Top_and_Last_10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4">
    <font>
      <name val="Calibri"/>
      <family val="2"/>
      <color theme="1"/>
      <sz val="11"/>
      <scheme val="minor"/>
    </font>
    <font>
      <b val="1"/>
    </font>
    <font>
      <name val="Calibri"/>
      <b val="1"/>
      <color rgb="00FFFFFF"/>
      <sz val="11"/>
    </font>
    <font>
      <b val="1"/>
      <color rgb="001F4E79"/>
      <sz val="12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1" fontId="1" fillId="3" borderId="2" pivotButton="0" quotePrefix="0" xfId="0"/>
    <xf numFmtId="164" fontId="0" fillId="0" borderId="2" pivotButton="0" quotePrefix="0" xfId="0"/>
    <xf numFmtId="10" fontId="0" fillId="0" borderId="2" pivotButton="0" quotePrefix="0" xfId="0"/>
    <xf numFmtId="1" fontId="1" fillId="0" borderId="2" pivotButton="0" quotePrefix="0" xfId="0"/>
    <xf numFmtId="1" fontId="1" fillId="4" borderId="2" pivotButton="0" quotePrefix="0" xfId="0"/>
    <xf numFmtId="0" fontId="3" fillId="0" borderId="0" pivotButton="0" quotePrefix="0" xfId="0"/>
    <xf numFmtId="0" fontId="2" fillId="2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62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42" customWidth="1" min="4" max="4"/>
    <col width="25" customWidth="1" min="5" max="5"/>
    <col width="15" customWidth="1" min="6" max="6"/>
    <col width="25" customWidth="1" min="7" max="7"/>
    <col width="25" customWidth="1" min="8" max="8"/>
    <col width="25" customWidth="1" min="9" max="9"/>
    <col width="24" customWidth="1" min="10" max="10"/>
    <col width="24" customWidth="1" min="11" max="11"/>
    <col width="24" customWidth="1" min="12" max="12"/>
    <col width="23" customWidth="1" min="13" max="13"/>
    <col width="24" customWidth="1" min="14" max="14"/>
    <col width="23" customWidth="1" min="15" max="15"/>
    <col width="23" customWidth="1" min="16" max="16"/>
  </cols>
  <sheetData>
    <row r="1">
      <c r="A1" s="2" t="inlineStr">
        <is>
          <t>IBD_Rank</t>
        </is>
      </c>
      <c r="B1" s="2" t="inlineStr">
        <is>
          <t>IBD_RS_Rating</t>
        </is>
      </c>
      <c r="C1" s="2" t="inlineStr">
        <is>
          <t>Ticker</t>
        </is>
      </c>
      <c r="D1" s="2" t="inlineStr">
        <is>
          <t>Subgroup Name</t>
        </is>
      </c>
      <c r="E1" s="2" t="inlineStr">
        <is>
          <t>Sector</t>
        </is>
      </c>
      <c r="F1" s="2" t="inlineStr">
        <is>
          <t>Latest Price</t>
        </is>
      </c>
      <c r="G1" s="2" t="inlineStr">
        <is>
          <t>1D</t>
        </is>
      </c>
      <c r="H1" s="2" t="inlineStr">
        <is>
          <t>1W</t>
        </is>
      </c>
      <c r="I1" s="2" t="inlineStr">
        <is>
          <t>2W</t>
        </is>
      </c>
      <c r="J1" s="2" t="inlineStr">
        <is>
          <t>1M</t>
        </is>
      </c>
      <c r="K1" s="2" t="inlineStr">
        <is>
          <t>3M</t>
        </is>
      </c>
      <c r="L1" s="2" t="inlineStr">
        <is>
          <t>6M</t>
        </is>
      </c>
      <c r="M1" s="2" t="inlineStr">
        <is>
          <t>9M</t>
        </is>
      </c>
      <c r="N1" s="2" t="inlineStr">
        <is>
          <t>1Y</t>
        </is>
      </c>
      <c r="O1" s="2" t="inlineStr">
        <is>
          <t>3Y</t>
        </is>
      </c>
      <c r="P1" s="2" t="inlineStr">
        <is>
          <t>3Y (Ann.)</t>
        </is>
      </c>
    </row>
    <row r="2">
      <c r="A2" s="3" t="n">
        <v>1</v>
      </c>
      <c r="B2" s="4" t="n">
        <v>99</v>
      </c>
      <c r="C2" s="3" t="inlineStr">
        <is>
          <t>IDNA</t>
        </is>
      </c>
      <c r="D2" s="3" t="inlineStr">
        <is>
          <t>Genomics &amp; Immunology</t>
        </is>
      </c>
      <c r="E2" s="3" t="inlineStr">
        <is>
          <t>Health Care</t>
        </is>
      </c>
      <c r="F2" s="5" t="n">
        <v>42.76</v>
      </c>
      <c r="G2" s="6" t="n">
        <v>-0.005350159291777845</v>
      </c>
      <c r="H2" s="6" t="n">
        <v>0.04522118017651677</v>
      </c>
      <c r="I2" s="6" t="n">
        <v>0.05476066492034959</v>
      </c>
      <c r="J2" s="6" t="n">
        <v>0.01039694305013894</v>
      </c>
      <c r="K2" s="6" t="n">
        <v>0.3040957763651424</v>
      </c>
      <c r="L2" s="6" t="n">
        <v>0.4610513144281607</v>
      </c>
      <c r="M2" s="6" t="n">
        <v>0.5061486336731658</v>
      </c>
      <c r="N2" s="6" t="n">
        <v>0.7133254957519857</v>
      </c>
      <c r="O2" s="6" t="n">
        <v>1.49547418459129</v>
      </c>
      <c r="P2" s="6" t="n">
        <v>0.3563893167109879</v>
      </c>
    </row>
    <row r="3">
      <c r="A3" s="3" t="n">
        <v>2</v>
      </c>
      <c r="B3" s="4" t="n">
        <v>97</v>
      </c>
      <c r="C3" s="3" t="inlineStr">
        <is>
          <t>HACK</t>
        </is>
      </c>
      <c r="D3" s="3" t="inlineStr">
        <is>
          <t>Cybersecurity</t>
        </is>
      </c>
      <c r="E3" s="3" t="inlineStr">
        <is>
          <t>Technology</t>
        </is>
      </c>
      <c r="F3" s="5" t="n">
        <v>124.47</v>
      </c>
      <c r="G3" s="6" t="n">
        <v>-0.03936100806689047</v>
      </c>
      <c r="H3" s="6" t="n">
        <v>-0.02628491404382738</v>
      </c>
      <c r="I3" s="6" t="n">
        <v>0.063028483334441</v>
      </c>
      <c r="J3" s="6" t="n">
        <v>0.02664140064207987</v>
      </c>
      <c r="K3" s="6" t="n">
        <v>0.1795868572829593</v>
      </c>
      <c r="L3" s="6" t="n">
        <v>0.5705993844883674</v>
      </c>
      <c r="M3" s="6" t="n">
        <v>0.6112621517243122</v>
      </c>
      <c r="N3" s="6" t="n">
        <v>0.4467107026764161</v>
      </c>
      <c r="O3" s="6" t="n">
        <v>1.490893359376372</v>
      </c>
      <c r="P3" s="6" t="n">
        <v>0.3555588548859585</v>
      </c>
    </row>
    <row r="4">
      <c r="A4" s="3" t="n">
        <v>3</v>
      </c>
      <c r="B4" s="4" t="n">
        <v>96</v>
      </c>
      <c r="C4" s="3" t="inlineStr">
        <is>
          <t>XOP</t>
        </is>
      </c>
      <c r="D4" s="3" t="inlineStr">
        <is>
          <t>Oil &amp; Gas Exploration &amp; Production</t>
        </is>
      </c>
      <c r="E4" s="3" t="inlineStr">
        <is>
          <t>Energy</t>
        </is>
      </c>
      <c r="F4" s="5" t="n">
        <v>203.76</v>
      </c>
      <c r="G4" s="6" t="n">
        <v>0.02125095300511792</v>
      </c>
      <c r="H4" s="6" t="n">
        <v>0.01026323585885747</v>
      </c>
      <c r="I4" s="6" t="n">
        <v>0.01686789870077177</v>
      </c>
      <c r="J4" s="6" t="n">
        <v>0.1362292557092402</v>
      </c>
      <c r="K4" s="6" t="n">
        <v>0.1698544674503184</v>
      </c>
      <c r="L4" s="6" t="n">
        <v>0.1535554010219375</v>
      </c>
      <c r="M4" s="6" t="n">
        <v>0.4717721092356637</v>
      </c>
      <c r="N4" s="6" t="n">
        <v>0.651900080049076</v>
      </c>
      <c r="O4" s="6" t="n">
        <v>0.5233780358922502</v>
      </c>
      <c r="P4" s="6" t="n">
        <v>0.15063053912841</v>
      </c>
    </row>
    <row r="5">
      <c r="A5" s="3" t="n">
        <v>4</v>
      </c>
      <c r="B5" s="4" t="n">
        <v>94</v>
      </c>
      <c r="C5" s="3" t="inlineStr">
        <is>
          <t>CIBR</t>
        </is>
      </c>
      <c r="D5" s="3" t="inlineStr">
        <is>
          <t>Cybersecurity Leaders</t>
        </is>
      </c>
      <c r="E5" s="3" t="inlineStr">
        <is>
          <t>Technology</t>
        </is>
      </c>
      <c r="F5" s="5" t="n">
        <v>101.03</v>
      </c>
      <c r="G5" s="6" t="n">
        <v>-0.03780953543526788</v>
      </c>
      <c r="H5" s="6" t="n">
        <v>-0.04796460455660045</v>
      </c>
      <c r="I5" s="6" t="n">
        <v>0.02236388475306184</v>
      </c>
      <c r="J5" s="6" t="n">
        <v>-0.01998251655613459</v>
      </c>
      <c r="K5" s="6" t="n">
        <v>0.1223385235110703</v>
      </c>
      <c r="L5" s="6" t="n">
        <v>0.4991816441949495</v>
      </c>
      <c r="M5" s="6" t="n">
        <v>0.4667772104746351</v>
      </c>
      <c r="N5" s="6" t="n">
        <v>0.3307283268826195</v>
      </c>
      <c r="O5" s="6" t="n">
        <v>1.33420972080606</v>
      </c>
      <c r="P5" s="6" t="n">
        <v>0.3265184387935904</v>
      </c>
    </row>
    <row r="6">
      <c r="A6" s="3" t="n">
        <v>5</v>
      </c>
      <c r="B6" s="4" t="n">
        <v>93</v>
      </c>
      <c r="C6" s="3" t="inlineStr">
        <is>
          <t>IBB</t>
        </is>
      </c>
      <c r="D6" s="3" t="inlineStr">
        <is>
          <t>Biotechnology (Market Weight)</t>
        </is>
      </c>
      <c r="E6" s="3" t="inlineStr">
        <is>
          <t>Health Care</t>
        </is>
      </c>
      <c r="F6" s="5" t="n">
        <v>217.61</v>
      </c>
      <c r="G6" s="6" t="n">
        <v>-0.001147525930871196</v>
      </c>
      <c r="H6" s="6" t="n">
        <v>0.04751128745643696</v>
      </c>
      <c r="I6" s="6" t="n">
        <v>0.07733053464230011</v>
      </c>
      <c r="J6" s="6" t="n">
        <v>0.03362942037764793</v>
      </c>
      <c r="K6" s="6" t="n">
        <v>0.1456184856870881</v>
      </c>
      <c r="L6" s="6" t="n">
        <v>0.290250083234417</v>
      </c>
      <c r="M6" s="6" t="n">
        <v>0.2631868865771332</v>
      </c>
      <c r="N6" s="6" t="n">
        <v>0.3860967621917866</v>
      </c>
      <c r="O6" s="6" t="n">
        <v>0.939101007425569</v>
      </c>
      <c r="P6" s="6" t="n">
        <v>0.2470010255935569</v>
      </c>
    </row>
    <row r="7">
      <c r="A7" s="3" t="n">
        <v>6</v>
      </c>
      <c r="B7" s="4" t="n">
        <v>91</v>
      </c>
      <c r="C7" s="3" t="inlineStr">
        <is>
          <t>CLOU</t>
        </is>
      </c>
      <c r="D7" s="3" t="inlineStr">
        <is>
          <t>Cloud Computing &amp; SaaS</t>
        </is>
      </c>
      <c r="E7" s="3" t="inlineStr">
        <is>
          <t>Technology</t>
        </is>
      </c>
      <c r="F7" s="5" t="n">
        <v>28.02</v>
      </c>
      <c r="G7" s="6" t="n">
        <v>-0.04172364305418186</v>
      </c>
      <c r="H7" s="6" t="n">
        <v>-0.07555259150538263</v>
      </c>
      <c r="I7" s="6" t="n">
        <v>-0.00178123397235963</v>
      </c>
      <c r="J7" s="6" t="n">
        <v>-0.01546024739505492</v>
      </c>
      <c r="K7" s="6" t="n">
        <v>0.1275653934660608</v>
      </c>
      <c r="L7" s="6" t="n">
        <v>0.4031047281521898</v>
      </c>
      <c r="M7" s="6" t="n">
        <v>0.3588748456523043</v>
      </c>
      <c r="N7" s="6" t="n">
        <v>0.1842772881855472</v>
      </c>
      <c r="O7" s="6" t="n">
        <v>0.5875354710119203</v>
      </c>
      <c r="P7" s="6" t="n">
        <v>0.1665619653642589</v>
      </c>
    </row>
    <row r="8">
      <c r="A8" s="3" t="n">
        <v>7</v>
      </c>
      <c r="B8" s="4" t="n">
        <v>89</v>
      </c>
      <c r="C8" s="3" t="inlineStr">
        <is>
          <t>FCG</t>
        </is>
      </c>
      <c r="D8" s="3" t="inlineStr">
        <is>
          <t>Natural Gas Producers</t>
        </is>
      </c>
      <c r="E8" s="3" t="inlineStr">
        <is>
          <t>Energy</t>
        </is>
      </c>
      <c r="F8" s="5" t="n">
        <v>32.68</v>
      </c>
      <c r="G8" s="6" t="n">
        <v>0.01806859372664094</v>
      </c>
      <c r="H8" s="6" t="n">
        <v>0.01743466350912959</v>
      </c>
      <c r="I8" s="6" t="n">
        <v>0.04242423947440166</v>
      </c>
      <c r="J8" s="6" t="n">
        <v>0.1458625449032795</v>
      </c>
      <c r="K8" s="6" t="n">
        <v>0.1421880355965062</v>
      </c>
      <c r="L8" s="6" t="n">
        <v>0.05361129166254153</v>
      </c>
      <c r="M8" s="6" t="n">
        <v>0.2977457317782561</v>
      </c>
      <c r="N8" s="6" t="n">
        <v>0.516213445910447</v>
      </c>
      <c r="O8" s="6" t="n">
        <v>0.3778113734342168</v>
      </c>
      <c r="P8" s="6" t="n">
        <v>0.1127474006858744</v>
      </c>
    </row>
    <row r="9">
      <c r="A9" s="3" t="n">
        <v>8</v>
      </c>
      <c r="B9" s="4" t="n">
        <v>88</v>
      </c>
      <c r="C9" s="3" t="inlineStr">
        <is>
          <t>IHF</t>
        </is>
      </c>
      <c r="D9" s="3" t="inlineStr">
        <is>
          <t>Health Care Providers &amp; Managed Care</t>
        </is>
      </c>
      <c r="E9" s="3" t="inlineStr">
        <is>
          <t>Health Care</t>
        </is>
      </c>
      <c r="F9" s="5" t="n">
        <v>59.94</v>
      </c>
      <c r="G9" s="6" t="n">
        <v>-0.003822495416910821</v>
      </c>
      <c r="H9" s="6" t="n">
        <v>-0.007287221490935081</v>
      </c>
      <c r="I9" s="6" t="n">
        <v>0.02199483490654086</v>
      </c>
      <c r="J9" s="6" t="n">
        <v>0.09200217331415961</v>
      </c>
      <c r="K9" s="6" t="n">
        <v>0.05863659123689446</v>
      </c>
      <c r="L9" s="6" t="n">
        <v>0.2462740454206922</v>
      </c>
      <c r="M9" s="6" t="n">
        <v>0.3246306916637998</v>
      </c>
      <c r="N9" s="6" t="n">
        <v>0.2451128666776337</v>
      </c>
      <c r="O9" s="6" t="n">
        <v>0.2589228757348834</v>
      </c>
      <c r="P9" s="6" t="n">
        <v>0.0797744372713407</v>
      </c>
    </row>
    <row r="10">
      <c r="A10" s="3" t="n">
        <v>9</v>
      </c>
      <c r="B10" s="4" t="n">
        <v>86</v>
      </c>
      <c r="C10" s="3" t="inlineStr">
        <is>
          <t>XBI</t>
        </is>
      </c>
      <c r="D10" s="3" t="inlineStr">
        <is>
          <t>Biotechnology (Equal Weight)</t>
        </is>
      </c>
      <c r="E10" s="3" t="inlineStr">
        <is>
          <t>Health Care</t>
        </is>
      </c>
      <c r="F10" s="5" t="n">
        <v>155.98</v>
      </c>
      <c r="G10" s="6" t="n">
        <v>-0.01147092740736444</v>
      </c>
      <c r="H10" s="6" t="n">
        <v>0.04306541882133041</v>
      </c>
      <c r="I10" s="6" t="n">
        <v>0.08079259847268316</v>
      </c>
      <c r="J10" s="6" t="n">
        <v>-0.0107813104211496</v>
      </c>
      <c r="K10" s="6" t="n">
        <v>0.02984278894303016</v>
      </c>
      <c r="L10" s="6" t="n">
        <v>0.1888610232459473</v>
      </c>
      <c r="M10" s="6" t="n">
        <v>0.2515680098623849</v>
      </c>
      <c r="N10" s="6" t="n">
        <v>0.3997823021418412</v>
      </c>
      <c r="O10" s="6" t="n">
        <v>1.407815816772144</v>
      </c>
      <c r="P10" s="6" t="n">
        <v>0.340317704569796</v>
      </c>
    </row>
    <row r="11">
      <c r="A11" s="3" t="n">
        <v>10</v>
      </c>
      <c r="B11" s="4" t="n">
        <v>85</v>
      </c>
      <c r="C11" s="3" t="inlineStr">
        <is>
          <t>OIH</t>
        </is>
      </c>
      <c r="D11" s="3" t="inlineStr">
        <is>
          <t>Oil Services &amp; Equipment</t>
        </is>
      </c>
      <c r="E11" s="3" t="inlineStr">
        <is>
          <t>Energy</t>
        </is>
      </c>
      <c r="F11" s="5" t="n">
        <v>411.57</v>
      </c>
      <c r="G11" s="6" t="n">
        <v>0.008997336314414683</v>
      </c>
      <c r="H11" s="6" t="n">
        <v>0.03576107936505979</v>
      </c>
      <c r="I11" s="6" t="n">
        <v>0.07690097653377226</v>
      </c>
      <c r="J11" s="6" t="n">
        <v>0.08774483345791895</v>
      </c>
      <c r="K11" s="6" t="n">
        <v>0.09509624571982078</v>
      </c>
      <c r="L11" s="6" t="n">
        <v>-0.08180881605628787</v>
      </c>
      <c r="M11" s="6" t="n">
        <v>0.1813484601145545</v>
      </c>
      <c r="N11" s="6" t="n">
        <v>0.4611727063090019</v>
      </c>
      <c r="O11" s="6" t="n">
        <v>0.3305729988018622</v>
      </c>
      <c r="P11" s="6" t="n">
        <v>0.09988235623451991</v>
      </c>
    </row>
    <row r="12">
      <c r="A12" s="3" t="n">
        <v>11</v>
      </c>
      <c r="B12" s="4" t="n">
        <v>83</v>
      </c>
      <c r="C12" s="3" t="inlineStr">
        <is>
          <t>NXTG</t>
        </is>
      </c>
      <c r="D12" s="3" t="inlineStr">
        <is>
          <t>NextGen 5G &amp; Telecom Infrastructure</t>
        </is>
      </c>
      <c r="E12" s="3" t="inlineStr">
        <is>
          <t>Communication</t>
        </is>
      </c>
      <c r="F12" s="5" t="n">
        <v>145.12</v>
      </c>
      <c r="G12" s="6" t="n">
        <v>-0.03052980993842658</v>
      </c>
      <c r="H12" s="6" t="n">
        <v>-0.01666897061488948</v>
      </c>
      <c r="I12" s="6" t="n">
        <v>-0.01859741726386488</v>
      </c>
      <c r="J12" s="6" t="n">
        <v>-0.0573562975387607</v>
      </c>
      <c r="K12" s="6" t="n">
        <v>-0.0011069072419293</v>
      </c>
      <c r="L12" s="6" t="n">
        <v>0.07850941687295254</v>
      </c>
      <c r="M12" s="6" t="n">
        <v>0.2911163751153754</v>
      </c>
      <c r="N12" s="6" t="n">
        <v>0.3425311538798426</v>
      </c>
      <c r="O12" s="6" t="n">
        <v>1.337800527804107</v>
      </c>
      <c r="P12" s="6" t="n">
        <v>0.3271983021932212</v>
      </c>
    </row>
    <row r="13">
      <c r="A13" s="3" t="n">
        <v>12</v>
      </c>
      <c r="B13" s="4" t="n">
        <v>81</v>
      </c>
      <c r="C13" s="3" t="inlineStr">
        <is>
          <t>SMH</t>
        </is>
      </c>
      <c r="D13" s="3" t="inlineStr">
        <is>
          <t>Semiconductor Manufacturers</t>
        </is>
      </c>
      <c r="E13" s="3" t="inlineStr">
        <is>
          <t>Technology</t>
        </is>
      </c>
      <c r="F13" s="5" t="n">
        <v>522.49</v>
      </c>
      <c r="G13" s="6" t="n">
        <v>-0.06975625165649701</v>
      </c>
      <c r="H13" s="6" t="n">
        <v>-0.008934032366460953</v>
      </c>
      <c r="I13" s="6" t="n">
        <v>-0.03204947942196212</v>
      </c>
      <c r="J13" s="6" t="n">
        <v>-0.1420525611915024</v>
      </c>
      <c r="K13" s="6" t="n">
        <v>-0.03045098058314222</v>
      </c>
      <c r="L13" s="6" t="n">
        <v>0.0311217022728163</v>
      </c>
      <c r="M13" s="6" t="n">
        <v>0.2950230538349423</v>
      </c>
      <c r="N13" s="6" t="n">
        <v>0.4409472556783378</v>
      </c>
      <c r="O13" s="6" t="n">
        <v>2.838880042117706</v>
      </c>
      <c r="P13" s="6" t="n">
        <v>0.5657948025371471</v>
      </c>
    </row>
    <row r="14">
      <c r="A14" s="3" t="n">
        <v>13</v>
      </c>
      <c r="B14" s="4" t="n">
        <v>80</v>
      </c>
      <c r="C14" s="3" t="inlineStr">
        <is>
          <t>KBWP</t>
        </is>
      </c>
      <c r="D14" s="3" t="inlineStr">
        <is>
          <t>Insurance Underwriters</t>
        </is>
      </c>
      <c r="E14" s="3" t="inlineStr">
        <is>
          <t>Financials</t>
        </is>
      </c>
      <c r="F14" s="5" t="n">
        <v>138.57</v>
      </c>
      <c r="G14" s="6" t="n">
        <v>0.009102825031524375</v>
      </c>
      <c r="H14" s="6" t="n">
        <v>0.01375378483600787</v>
      </c>
      <c r="I14" s="6" t="n">
        <v>0.03689021219011002</v>
      </c>
      <c r="J14" s="6" t="n">
        <v>0.1295240216784754</v>
      </c>
      <c r="K14" s="6" t="n">
        <v>0.02438573735037042</v>
      </c>
      <c r="L14" s="6" t="n">
        <v>0.1646431270777049</v>
      </c>
      <c r="M14" s="6" t="n">
        <v>0.1375555041141439</v>
      </c>
      <c r="N14" s="6" t="n">
        <v>0.2155044163357644</v>
      </c>
      <c r="O14" s="6" t="n">
        <v>0.6877627626581175</v>
      </c>
      <c r="P14" s="6" t="n">
        <v>0.1906125798016658</v>
      </c>
    </row>
    <row r="15">
      <c r="A15" s="3" t="n">
        <v>14</v>
      </c>
      <c r="B15" s="7" t="n">
        <v>78</v>
      </c>
      <c r="C15" s="3" t="inlineStr">
        <is>
          <t>IGV</t>
        </is>
      </c>
      <c r="D15" s="3" t="inlineStr">
        <is>
          <t>Software &amp; Cloud Applications</t>
        </is>
      </c>
      <c r="E15" s="3" t="inlineStr">
        <is>
          <t>Technology</t>
        </is>
      </c>
      <c r="F15" s="5" t="n">
        <v>104.29</v>
      </c>
      <c r="G15" s="6" t="n">
        <v>-0.03408354416569315</v>
      </c>
      <c r="H15" s="6" t="n">
        <v>-0.05696713654926455</v>
      </c>
      <c r="I15" s="6" t="n">
        <v>-0.0004791587513706119</v>
      </c>
      <c r="J15" s="6" t="n">
        <v>-0.0205672649545765</v>
      </c>
      <c r="K15" s="6" t="n">
        <v>0.1176723142666329</v>
      </c>
      <c r="L15" s="6" t="n">
        <v>0.2431122961680363</v>
      </c>
      <c r="M15" s="6" t="n">
        <v>0.1550166951234793</v>
      </c>
      <c r="N15" s="6" t="n">
        <v>-0.0847630835468518</v>
      </c>
      <c r="O15" s="6" t="n">
        <v>0.5635801051331688</v>
      </c>
      <c r="P15" s="6" t="n">
        <v>0.1606645283588199</v>
      </c>
    </row>
    <row r="16">
      <c r="A16" s="3" t="n">
        <v>15</v>
      </c>
      <c r="B16" s="7" t="n">
        <v>77</v>
      </c>
      <c r="C16" s="3" t="inlineStr">
        <is>
          <t>IAK</t>
        </is>
      </c>
      <c r="D16" s="3" t="inlineStr">
        <is>
          <t>Property &amp; Casualty Insurance</t>
        </is>
      </c>
      <c r="E16" s="3" t="inlineStr">
        <is>
          <t>Financials</t>
        </is>
      </c>
      <c r="F16" s="5" t="n">
        <v>148.83</v>
      </c>
      <c r="G16" s="6" t="n">
        <v>0.002222234552556879</v>
      </c>
      <c r="H16" s="6" t="n">
        <v>0.01327612257228594</v>
      </c>
      <c r="I16" s="6" t="n">
        <v>0.02155260715924068</v>
      </c>
      <c r="J16" s="6" t="n">
        <v>0.09780920403083226</v>
      </c>
      <c r="K16" s="6" t="n">
        <v>0.011725205389991</v>
      </c>
      <c r="L16" s="6" t="n">
        <v>0.1319994842373822</v>
      </c>
      <c r="M16" s="6" t="n">
        <v>0.1435431240787732</v>
      </c>
      <c r="N16" s="6" t="n">
        <v>0.2103151710999203</v>
      </c>
      <c r="O16" s="6" t="n">
        <v>0.695344509819207</v>
      </c>
      <c r="P16" s="6" t="n">
        <v>0.1923927352636285</v>
      </c>
    </row>
    <row r="17">
      <c r="A17" s="3" t="n">
        <v>16</v>
      </c>
      <c r="B17" s="7" t="n">
        <v>75</v>
      </c>
      <c r="C17" s="3" t="inlineStr">
        <is>
          <t>IYK</t>
        </is>
      </c>
      <c r="D17" s="3" t="inlineStr">
        <is>
          <t>Consumer Staples Products</t>
        </is>
      </c>
      <c r="E17" s="3" t="inlineStr">
        <is>
          <t>Consumer Staples</t>
        </is>
      </c>
      <c r="F17" s="5" t="n">
        <v>78.03</v>
      </c>
      <c r="G17" s="6" t="n">
        <v>0.01088219084496411</v>
      </c>
      <c r="H17" s="6" t="n">
        <v>0.008791212910020718</v>
      </c>
      <c r="I17" s="6" t="n">
        <v>0.01062038213375827</v>
      </c>
      <c r="J17" s="6" t="n">
        <v>0.1032093181944924</v>
      </c>
      <c r="K17" s="6" t="n">
        <v>0.04182414070666662</v>
      </c>
      <c r="L17" s="6" t="n">
        <v>0.09985472629903502</v>
      </c>
      <c r="M17" s="6" t="n">
        <v>0.1095884154197078</v>
      </c>
      <c r="N17" s="6" t="n">
        <v>0.1966499341216736</v>
      </c>
      <c r="O17" s="6" t="n">
        <v>0.3841756611158698</v>
      </c>
      <c r="P17" s="6" t="n">
        <v>0.1144580771552979</v>
      </c>
    </row>
    <row r="18">
      <c r="A18" s="3" t="n">
        <v>17</v>
      </c>
      <c r="B18" s="7" t="n">
        <v>73</v>
      </c>
      <c r="C18" s="3" t="inlineStr">
        <is>
          <t>XPH</t>
        </is>
      </c>
      <c r="D18" s="3" t="inlineStr">
        <is>
          <t>Pharmaceuticals</t>
        </is>
      </c>
      <c r="E18" s="3" t="inlineStr">
        <is>
          <t>Health Care</t>
        </is>
      </c>
      <c r="F18" s="5" t="n">
        <v>64.8</v>
      </c>
      <c r="G18" s="6" t="n">
        <v>-0.005829967039564399</v>
      </c>
      <c r="H18" s="6" t="n">
        <v>0.03349285906324306</v>
      </c>
      <c r="I18" s="6" t="n">
        <v>0.04786550601336059</v>
      </c>
      <c r="J18" s="6" t="n">
        <v>-0.003076876126802852</v>
      </c>
      <c r="K18" s="6" t="n">
        <v>-0.07025113554935591</v>
      </c>
      <c r="L18" s="6" t="n">
        <v>0.1265999082640119</v>
      </c>
      <c r="M18" s="6" t="n">
        <v>0.1722641751749381</v>
      </c>
      <c r="N18" s="6" t="n">
        <v>0.3204115359983621</v>
      </c>
      <c r="O18" s="6" t="n">
        <v>0.8872741639165334</v>
      </c>
      <c r="P18" s="6" t="n">
        <v>0.2357909151700812</v>
      </c>
    </row>
    <row r="19">
      <c r="A19" s="3" t="n">
        <v>18</v>
      </c>
      <c r="B19" s="7" t="n">
        <v>72</v>
      </c>
      <c r="C19" s="3" t="inlineStr">
        <is>
          <t>AMLP</t>
        </is>
      </c>
      <c r="D19" s="3" t="inlineStr">
        <is>
          <t>Midstream Energy &amp; MLPs</t>
        </is>
      </c>
      <c r="E19" s="3" t="inlineStr">
        <is>
          <t>Energy</t>
        </is>
      </c>
      <c r="F19" s="5" t="n">
        <v>54.06</v>
      </c>
      <c r="G19" s="6" t="n">
        <v>0.003527054857500378</v>
      </c>
      <c r="H19" s="6" t="n">
        <v>0.01731279627793514</v>
      </c>
      <c r="I19" s="6" t="n">
        <v>0.02717082037154128</v>
      </c>
      <c r="J19" s="6" t="n">
        <v>0.04222098489498993</v>
      </c>
      <c r="K19" s="6" t="n">
        <v>0.004652030315859701</v>
      </c>
      <c r="L19" s="6" t="n">
        <v>0.03759768270542763</v>
      </c>
      <c r="M19" s="6" t="n">
        <v>0.1450048348491793</v>
      </c>
      <c r="N19" s="6" t="n">
        <v>0.2474380501964353</v>
      </c>
      <c r="O19" s="6" t="n">
        <v>0.6459408927229962</v>
      </c>
      <c r="P19" s="6" t="n">
        <v>0.1806959632611052</v>
      </c>
    </row>
    <row r="20">
      <c r="A20" s="3" t="n">
        <v>19</v>
      </c>
      <c r="B20" s="7" t="n">
        <v>70</v>
      </c>
      <c r="C20" s="3" t="inlineStr">
        <is>
          <t>XSD</t>
        </is>
      </c>
      <c r="D20" s="3" t="inlineStr">
        <is>
          <t>Semiconductors - Equal Weight</t>
        </is>
      </c>
      <c r="E20" s="3" t="inlineStr">
        <is>
          <t>Technology</t>
        </is>
      </c>
      <c r="F20" s="5" t="n">
        <v>452.1</v>
      </c>
      <c r="G20" s="6" t="n">
        <v>-0.06298572974767225</v>
      </c>
      <c r="H20" s="6" t="n">
        <v>-0.003636350185089565</v>
      </c>
      <c r="I20" s="6" t="n">
        <v>-0.02149209510641459</v>
      </c>
      <c r="J20" s="6" t="n">
        <v>-0.1463690754283535</v>
      </c>
      <c r="K20" s="6" t="n">
        <v>-0.06371265944138937</v>
      </c>
      <c r="L20" s="6" t="n">
        <v>-0.07306049384963942</v>
      </c>
      <c r="M20" s="6" t="n">
        <v>0.3056892584977606</v>
      </c>
      <c r="N20" s="6" t="n">
        <v>0.3005849484183285</v>
      </c>
      <c r="O20" s="6" t="n">
        <v>1.730751517295337</v>
      </c>
      <c r="P20" s="6" t="n">
        <v>0.3977432207428995</v>
      </c>
    </row>
    <row r="21">
      <c r="A21" s="3" t="n">
        <v>20</v>
      </c>
      <c r="B21" s="7" t="n">
        <v>68</v>
      </c>
      <c r="C21" s="3" t="inlineStr">
        <is>
          <t>BDRY</t>
        </is>
      </c>
      <c r="D21" s="3" t="inlineStr">
        <is>
          <t>Dry Bulk Shipping &amp; Maritime Freight</t>
        </is>
      </c>
      <c r="E21" s="3" t="inlineStr">
        <is>
          <t>Industrials</t>
        </is>
      </c>
      <c r="F21" s="5" t="n">
        <v>12.19</v>
      </c>
      <c r="G21" s="6" t="n">
        <v>-0.02245394391737432</v>
      </c>
      <c r="H21" s="6" t="n">
        <v>-0.0333069062433754</v>
      </c>
      <c r="I21" s="6" t="n">
        <v>-0.02868530716177486</v>
      </c>
      <c r="J21" s="6" t="n">
        <v>-0.1621993525370784</v>
      </c>
      <c r="K21" s="6" t="n">
        <v>-0.08757485826050804</v>
      </c>
      <c r="L21" s="6" t="n">
        <v>0.04010232957730508</v>
      </c>
      <c r="M21" s="6" t="n">
        <v>0.05724196554183547</v>
      </c>
      <c r="N21" s="6" t="n">
        <v>0.4775757067131274</v>
      </c>
      <c r="O21" s="6" t="n">
        <v>1.467611222507177</v>
      </c>
      <c r="P21" s="6" t="n">
        <v>0.3513222020871192</v>
      </c>
    </row>
    <row r="22">
      <c r="A22" s="3" t="n">
        <v>21</v>
      </c>
      <c r="B22" s="7" t="n">
        <v>67</v>
      </c>
      <c r="C22" s="3" t="inlineStr">
        <is>
          <t>PEJ</t>
        </is>
      </c>
      <c r="D22" s="3" t="inlineStr">
        <is>
          <t>Leisure &amp; Entertainment</t>
        </is>
      </c>
      <c r="E22" s="3" t="inlineStr">
        <is>
          <t>Consumer Discretionary</t>
        </is>
      </c>
      <c r="F22" s="5" t="n">
        <v>66.39</v>
      </c>
      <c r="G22" s="6" t="n">
        <v>-0.008660621479507857</v>
      </c>
      <c r="H22" s="6" t="n">
        <v>0.01918943831305353</v>
      </c>
      <c r="I22" s="6" t="n">
        <v>0.02422091487528322</v>
      </c>
      <c r="J22" s="6" t="n">
        <v>0.07115198257474842</v>
      </c>
      <c r="K22" s="6" t="n">
        <v>-0.008945025466347789</v>
      </c>
      <c r="L22" s="6" t="n">
        <v>0.09011626723430721</v>
      </c>
      <c r="M22" s="6" t="n">
        <v>0.1076781880751607</v>
      </c>
      <c r="N22" s="6" t="n">
        <v>0.1513967046301143</v>
      </c>
      <c r="O22" s="6" t="n">
        <v>0.8887117185330382</v>
      </c>
      <c r="P22" s="6" t="n">
        <v>0.2361046067535324</v>
      </c>
    </row>
    <row r="23">
      <c r="A23" s="3" t="n">
        <v>22</v>
      </c>
      <c r="B23" s="7" t="n">
        <v>65</v>
      </c>
      <c r="C23" s="3" t="inlineStr">
        <is>
          <t>KRE</t>
        </is>
      </c>
      <c r="D23" s="3" t="inlineStr">
        <is>
          <t>Regional Banks</t>
        </is>
      </c>
      <c r="E23" s="3" t="inlineStr">
        <is>
          <t>Financials</t>
        </is>
      </c>
      <c r="F23" s="5" t="n">
        <v>72.01000000000001</v>
      </c>
      <c r="G23" s="6" t="n">
        <v>-0.01166618812792508</v>
      </c>
      <c r="H23" s="6" t="n">
        <v>-0.006210280898811371</v>
      </c>
      <c r="I23" s="6" t="n">
        <v>0.03151417640131249</v>
      </c>
      <c r="J23" s="6" t="n">
        <v>0.03701036296755311</v>
      </c>
      <c r="K23" s="6" t="n">
        <v>-0.04584804425787437</v>
      </c>
      <c r="L23" s="6" t="n">
        <v>0.04285848452036323</v>
      </c>
      <c r="M23" s="6" t="n">
        <v>0.06476843685570666</v>
      </c>
      <c r="N23" s="6" t="n">
        <v>0.2316242279019505</v>
      </c>
      <c r="O23" s="6" t="n">
        <v>0.9796061759298973</v>
      </c>
      <c r="P23" s="6" t="n">
        <v>0.2556239762961836</v>
      </c>
    </row>
    <row r="24">
      <c r="A24" s="3" t="n">
        <v>23</v>
      </c>
      <c r="B24" s="7" t="n">
        <v>64</v>
      </c>
      <c r="C24" s="3" t="inlineStr">
        <is>
          <t>VAW</t>
        </is>
      </c>
      <c r="D24" s="3" t="inlineStr">
        <is>
          <t>Chemicals &amp; Raw Materials</t>
        </is>
      </c>
      <c r="E24" s="3" t="inlineStr">
        <is>
          <t>Materials</t>
        </is>
      </c>
      <c r="F24" s="5" t="n">
        <v>228.65</v>
      </c>
      <c r="G24" s="6" t="n">
        <v>-0.003312888511803447</v>
      </c>
      <c r="H24" s="6" t="n">
        <v>0.01930272125039356</v>
      </c>
      <c r="I24" s="6" t="n">
        <v>0.01568052085937244</v>
      </c>
      <c r="J24" s="6" t="n">
        <v>0.04803591609980962</v>
      </c>
      <c r="K24" s="6" t="n">
        <v>0.004958530253432514</v>
      </c>
      <c r="L24" s="6" t="n">
        <v>-0.00897037269148615</v>
      </c>
      <c r="M24" s="6" t="n">
        <v>0.02673069913146442</v>
      </c>
      <c r="N24" s="6" t="n">
        <v>0.1813103483180241</v>
      </c>
      <c r="O24" s="6" t="n">
        <v>0.4513584736218357</v>
      </c>
      <c r="P24" s="6" t="n">
        <v>0.1322045545985981</v>
      </c>
    </row>
    <row r="25">
      <c r="A25" s="3" t="n">
        <v>24</v>
      </c>
      <c r="B25" s="7" t="n">
        <v>62</v>
      </c>
      <c r="C25" s="3" t="inlineStr">
        <is>
          <t>KBE</t>
        </is>
      </c>
      <c r="D25" s="3" t="inlineStr">
        <is>
          <t>Commercial Banking</t>
        </is>
      </c>
      <c r="E25" s="3" t="inlineStr">
        <is>
          <t>Financials</t>
        </is>
      </c>
      <c r="F25" s="5" t="n">
        <v>65.7</v>
      </c>
      <c r="G25" s="6" t="n">
        <v>-0.01143548219530488</v>
      </c>
      <c r="H25" s="6" t="n">
        <v>-0.002580928969957652</v>
      </c>
      <c r="I25" s="6" t="n">
        <v>0.03269409071484564</v>
      </c>
      <c r="J25" s="6" t="n">
        <v>0.03922802403754022</v>
      </c>
      <c r="K25" s="6" t="n">
        <v>-0.04905141237690935</v>
      </c>
      <c r="L25" s="6" t="n">
        <v>0.03484555121550725</v>
      </c>
      <c r="M25" s="6" t="n">
        <v>0.05104303886272832</v>
      </c>
      <c r="N25" s="6" t="n">
        <v>0.1886546091400918</v>
      </c>
      <c r="O25" s="6" t="n">
        <v>1.021269803863763</v>
      </c>
      <c r="P25" s="6" t="n">
        <v>0.2643716885520544</v>
      </c>
    </row>
    <row r="26">
      <c r="A26" s="3" t="n">
        <v>25</v>
      </c>
      <c r="B26" s="7" t="n">
        <v>60</v>
      </c>
      <c r="C26" s="3" t="inlineStr">
        <is>
          <t>SLX</t>
        </is>
      </c>
      <c r="D26" s="3" t="inlineStr">
        <is>
          <t>Steel Industry</t>
        </is>
      </c>
      <c r="E26" s="3" t="inlineStr">
        <is>
          <t>Materials</t>
        </is>
      </c>
      <c r="F26" s="5" t="n">
        <v>99.40000000000001</v>
      </c>
      <c r="G26" s="6" t="n">
        <v>-0.01875618429061776</v>
      </c>
      <c r="H26" s="6" t="n">
        <v>-0.006397434863968487</v>
      </c>
      <c r="I26" s="6" t="n">
        <v>-0.02977057601967659</v>
      </c>
      <c r="J26" s="6" t="n">
        <v>-0.02796793028168998</v>
      </c>
      <c r="K26" s="6" t="n">
        <v>-0.06605279300140154</v>
      </c>
      <c r="L26" s="6" t="n">
        <v>-0.03887059286637584</v>
      </c>
      <c r="M26" s="6" t="n">
        <v>0.05733431834027369</v>
      </c>
      <c r="N26" s="6" t="n">
        <v>0.2788975997056737</v>
      </c>
      <c r="O26" s="6" t="n">
        <v>0.7241032644475807</v>
      </c>
      <c r="P26" s="6" t="n">
        <v>0.1990972989940698</v>
      </c>
    </row>
    <row r="27">
      <c r="A27" s="3" t="n">
        <v>26</v>
      </c>
      <c r="B27" s="7" t="n">
        <v>59</v>
      </c>
      <c r="C27" s="3" t="inlineStr">
        <is>
          <t>IYT</t>
        </is>
      </c>
      <c r="D27" s="3" t="inlineStr">
        <is>
          <t>Transportation &amp; Freight</t>
        </is>
      </c>
      <c r="E27" s="3" t="inlineStr">
        <is>
          <t>Industrials</t>
        </is>
      </c>
      <c r="F27" s="5" t="n">
        <v>81.61</v>
      </c>
      <c r="G27" s="6" t="n">
        <v>0</v>
      </c>
      <c r="H27" s="6" t="n">
        <v>0.01783487527728878</v>
      </c>
      <c r="I27" s="6" t="n">
        <v>0.01974261970704183</v>
      </c>
      <c r="J27" s="6" t="n">
        <v>0.03935308328312326</v>
      </c>
      <c r="K27" s="6" t="n">
        <v>-0.03635605756971105</v>
      </c>
      <c r="L27" s="6" t="n">
        <v>0.008243690503996204</v>
      </c>
      <c r="M27" s="6" t="n">
        <v>0.07400124019152288</v>
      </c>
      <c r="N27" s="6" t="n">
        <v>0.1525865725988367</v>
      </c>
      <c r="O27" s="6" t="n">
        <v>0.5582757174719826</v>
      </c>
      <c r="P27" s="6" t="n">
        <v>0.1593505375239497</v>
      </c>
    </row>
    <row r="28">
      <c r="A28" s="3" t="n">
        <v>27</v>
      </c>
      <c r="B28" s="7" t="n">
        <v>57</v>
      </c>
      <c r="C28" s="3" t="inlineStr">
        <is>
          <t>REZ</t>
        </is>
      </c>
      <c r="D28" s="3" t="inlineStr">
        <is>
          <t>Residential &amp; Healthcare REITs</t>
        </is>
      </c>
      <c r="E28" s="3" t="inlineStr">
        <is>
          <t>Real Estate</t>
        </is>
      </c>
      <c r="F28" s="5" t="n">
        <v>90.91</v>
      </c>
      <c r="G28" s="6" t="n">
        <v>0.00653237344196933</v>
      </c>
      <c r="H28" s="6" t="n">
        <v>-0.006990708556138592</v>
      </c>
      <c r="I28" s="6" t="n">
        <v>0.01224814757174397</v>
      </c>
      <c r="J28" s="6" t="n">
        <v>0.02909222810456957</v>
      </c>
      <c r="K28" s="6" t="n">
        <v>-0.04849873166499918</v>
      </c>
      <c r="L28" s="6" t="n">
        <v>0.01795371906276966</v>
      </c>
      <c r="M28" s="6" t="n">
        <v>0.09415187903038302</v>
      </c>
      <c r="N28" s="6" t="n">
        <v>0.134465257575348</v>
      </c>
      <c r="O28" s="6" t="n">
        <v>0.5839288807218377</v>
      </c>
      <c r="P28" s="6" t="n">
        <v>0.1656778903852074</v>
      </c>
    </row>
    <row r="29">
      <c r="A29" s="3" t="n">
        <v>28</v>
      </c>
      <c r="B29" s="7" t="n">
        <v>56</v>
      </c>
      <c r="C29" s="3" t="inlineStr">
        <is>
          <t>GGME</t>
        </is>
      </c>
      <c r="D29" s="3" t="inlineStr">
        <is>
          <t>Next-Gen Media &amp; Gaming</t>
        </is>
      </c>
      <c r="E29" s="3" t="inlineStr">
        <is>
          <t>Technology</t>
        </is>
      </c>
      <c r="F29" s="5" t="n">
        <v>61.45</v>
      </c>
      <c r="G29" s="6" t="n">
        <v>-0.0310627162233269</v>
      </c>
      <c r="H29" s="6" t="n">
        <v>-0.04387733044064479</v>
      </c>
      <c r="I29" s="6" t="n">
        <v>-0.04372862246929043</v>
      </c>
      <c r="J29" s="6" t="n">
        <v>-0.06354772644168749</v>
      </c>
      <c r="K29" s="6" t="n">
        <v>0.001817778142631177</v>
      </c>
      <c r="L29" s="6" t="n">
        <v>0.08251501677826978</v>
      </c>
      <c r="M29" s="6" t="n">
        <v>0.09758484645666843</v>
      </c>
      <c r="N29" s="6" t="n">
        <v>-0.03879844412881917</v>
      </c>
      <c r="O29" s="6" t="n">
        <v>0.917479714619722</v>
      </c>
      <c r="P29" s="6" t="n">
        <v>0.2423489369885836</v>
      </c>
    </row>
    <row r="30">
      <c r="A30" s="3" t="n">
        <v>29</v>
      </c>
      <c r="B30" s="7" t="n">
        <v>54</v>
      </c>
      <c r="C30" s="3" t="inlineStr">
        <is>
          <t>XRT</t>
        </is>
      </c>
      <c r="D30" s="3" t="inlineStr">
        <is>
          <t>Retail - Broad / Omnichannel</t>
        </is>
      </c>
      <c r="E30" s="3" t="inlineStr">
        <is>
          <t>Consumer Discretionary</t>
        </is>
      </c>
      <c r="F30" s="5" t="n">
        <v>88.72</v>
      </c>
      <c r="G30" s="6" t="n">
        <v>-0.003258071099509596</v>
      </c>
      <c r="H30" s="6" t="n">
        <v>0.01220764034451616</v>
      </c>
      <c r="I30" s="6" t="n">
        <v>0.01953579226864033</v>
      </c>
      <c r="J30" s="6" t="n">
        <v>0.07997564909057897</v>
      </c>
      <c r="K30" s="6" t="n">
        <v>-0.01846429062492116</v>
      </c>
      <c r="L30" s="6" t="n">
        <v>0.03869594608113558</v>
      </c>
      <c r="M30" s="6" t="n">
        <v>0.03486807169842865</v>
      </c>
      <c r="N30" s="6" t="n">
        <v>0.1026992582267139</v>
      </c>
      <c r="O30" s="6" t="n">
        <v>0.5781970183283911</v>
      </c>
      <c r="P30" s="6" t="n">
        <v>0.1642700870467106</v>
      </c>
    </row>
    <row r="31">
      <c r="A31" s="3" t="n">
        <v>30</v>
      </c>
      <c r="B31" s="7" t="n">
        <v>52</v>
      </c>
      <c r="C31" s="3" t="inlineStr">
        <is>
          <t>VNQ</t>
        </is>
      </c>
      <c r="D31" s="3" t="inlineStr">
        <is>
          <t>REITs - Broad</t>
        </is>
      </c>
      <c r="E31" s="3" t="inlineStr">
        <is>
          <t>Real Estate</t>
        </is>
      </c>
      <c r="F31" s="5" t="n">
        <v>93.94</v>
      </c>
      <c r="G31" s="6" t="n">
        <v>0.0007457088822420133</v>
      </c>
      <c r="H31" s="6" t="n">
        <v>0.0134858125695938</v>
      </c>
      <c r="I31" s="6" t="n">
        <v>0.02375763136904974</v>
      </c>
      <c r="J31" s="6" t="n">
        <v>0.04808663751045605</v>
      </c>
      <c r="K31" s="6" t="n">
        <v>-0.0475951648428149</v>
      </c>
      <c r="L31" s="6" t="n">
        <v>-0.007682721625230648</v>
      </c>
      <c r="M31" s="6" t="n">
        <v>0.06400636213881028</v>
      </c>
      <c r="N31" s="6" t="n">
        <v>0.09604580123860451</v>
      </c>
      <c r="O31" s="6" t="n">
        <v>0.4739292173282661</v>
      </c>
      <c r="P31" s="6" t="n">
        <v>0.1380435349063225</v>
      </c>
    </row>
    <row r="32">
      <c r="A32" s="3" t="n">
        <v>31</v>
      </c>
      <c r="B32" s="7" t="n">
        <v>51</v>
      </c>
      <c r="C32" s="3" t="inlineStr">
        <is>
          <t>IFRA</t>
        </is>
      </c>
      <c r="D32" s="3" t="inlineStr">
        <is>
          <t>US Infrastructure &amp; Engineering</t>
        </is>
      </c>
      <c r="E32" s="3" t="inlineStr">
        <is>
          <t>Industrials</t>
        </is>
      </c>
      <c r="F32" s="5" t="n">
        <v>58.3</v>
      </c>
      <c r="G32" s="6" t="n">
        <v>-0.004099789455301095</v>
      </c>
      <c r="H32" s="6" t="n">
        <v>0.03039938759884975</v>
      </c>
      <c r="I32" s="6" t="n">
        <v>0.02370497727893994</v>
      </c>
      <c r="J32" s="6" t="n">
        <v>0.05942214301836213</v>
      </c>
      <c r="K32" s="6" t="n">
        <v>-0.03311525961999384</v>
      </c>
      <c r="L32" s="6" t="n">
        <v>-0.06170228859254812</v>
      </c>
      <c r="M32" s="6" t="n">
        <v>0.05313434189315069</v>
      </c>
      <c r="N32" s="6" t="n">
        <v>0.1270511463691324</v>
      </c>
      <c r="O32" s="6" t="n">
        <v>0.7679290190668715</v>
      </c>
      <c r="P32" s="6" t="n">
        <v>0.2091725369829975</v>
      </c>
    </row>
    <row r="33">
      <c r="A33" s="3" t="n">
        <v>32</v>
      </c>
      <c r="B33" s="7" t="n">
        <v>49</v>
      </c>
      <c r="C33" s="3" t="inlineStr">
        <is>
          <t>PBJ</t>
        </is>
      </c>
      <c r="D33" s="3" t="inlineStr">
        <is>
          <t>Food &amp; Beverage Manufacturers</t>
        </is>
      </c>
      <c r="E33" s="3" t="inlineStr">
        <is>
          <t>Consumer Staples</t>
        </is>
      </c>
      <c r="F33" s="5" t="n">
        <v>47.69</v>
      </c>
      <c r="G33" s="6" t="n">
        <v>0.009525760631954094</v>
      </c>
      <c r="H33" s="6" t="n">
        <v>-0.005007337303122861</v>
      </c>
      <c r="I33" s="6" t="n">
        <v>0.0006294330548242133</v>
      </c>
      <c r="J33" s="6" t="n">
        <v>0.0649843663854115</v>
      </c>
      <c r="K33" s="6" t="n">
        <v>-0.01256125164199307</v>
      </c>
      <c r="L33" s="6" t="n">
        <v>-0.04469891501263434</v>
      </c>
      <c r="M33" s="6" t="n">
        <v>0.006258100819734658</v>
      </c>
      <c r="N33" s="6" t="n">
        <v>0.1145997250778468</v>
      </c>
      <c r="O33" s="6" t="n">
        <v>0.2145076068191156</v>
      </c>
      <c r="P33" s="6" t="n">
        <v>0.0669238245443784</v>
      </c>
    </row>
    <row r="34">
      <c r="A34" s="3" t="n">
        <v>33</v>
      </c>
      <c r="B34" s="7" t="n">
        <v>48</v>
      </c>
      <c r="C34" s="3" t="inlineStr">
        <is>
          <t>PAVE</t>
        </is>
      </c>
      <c r="D34" s="3" t="inlineStr">
        <is>
          <t>Infrastructure Development</t>
        </is>
      </c>
      <c r="E34" s="3" t="inlineStr">
        <is>
          <t>Industrials</t>
        </is>
      </c>
      <c r="F34" s="5" t="n">
        <v>53.52</v>
      </c>
      <c r="G34" s="6" t="n">
        <v>-0.01780145330930405</v>
      </c>
      <c r="H34" s="6" t="n">
        <v>0.03720934186859548</v>
      </c>
      <c r="I34" s="6" t="n">
        <v>0.0140204944217821</v>
      </c>
      <c r="J34" s="6" t="n">
        <v>0.01942858014787952</v>
      </c>
      <c r="K34" s="6" t="n">
        <v>-0.04598927070466097</v>
      </c>
      <c r="L34" s="6" t="n">
        <v>-0.05592796709906633</v>
      </c>
      <c r="M34" s="6" t="n">
        <v>0.05643062594165182</v>
      </c>
      <c r="N34" s="6" t="n">
        <v>0.1237847579608395</v>
      </c>
      <c r="O34" s="6" t="n">
        <v>0.9138566198136062</v>
      </c>
      <c r="P34" s="6" t="n">
        <v>0.2415659672197057</v>
      </c>
    </row>
    <row r="35">
      <c r="A35" s="3" t="n">
        <v>34</v>
      </c>
      <c r="B35" s="7" t="n">
        <v>46</v>
      </c>
      <c r="C35" s="3" t="inlineStr">
        <is>
          <t>BIZD</t>
        </is>
      </c>
      <c r="D35" s="3" t="inlineStr">
        <is>
          <t>Business Development Companies (BDCs)</t>
        </is>
      </c>
      <c r="E35" s="3" t="inlineStr">
        <is>
          <t>Financials</t>
        </is>
      </c>
      <c r="F35" s="5" t="n">
        <v>12.39</v>
      </c>
      <c r="G35" s="6" t="n">
        <v>-0.007211474536436335</v>
      </c>
      <c r="H35" s="6" t="n">
        <v>0.038558258707454</v>
      </c>
      <c r="I35" s="6" t="n">
        <v>0.03164030867602219</v>
      </c>
      <c r="J35" s="6" t="n">
        <v>-0.005059076033407495</v>
      </c>
      <c r="K35" s="6" t="n">
        <v>0.03259169299770015</v>
      </c>
      <c r="L35" s="6" t="n">
        <v>-0.005965116581559626</v>
      </c>
      <c r="M35" s="6" t="n">
        <v>-0.0297824663511832</v>
      </c>
      <c r="N35" s="6" t="n">
        <v>-0.01690269484526563</v>
      </c>
      <c r="O35" s="6" t="n">
        <v>0.1726744176075681</v>
      </c>
      <c r="P35" s="6" t="n">
        <v>0.05453051221839056</v>
      </c>
    </row>
    <row r="36">
      <c r="A36" s="3" t="n">
        <v>35</v>
      </c>
      <c r="B36" s="7" t="n">
        <v>44</v>
      </c>
      <c r="C36" s="3" t="inlineStr">
        <is>
          <t>XTN</t>
        </is>
      </c>
      <c r="D36" s="3" t="inlineStr">
        <is>
          <t>Trucking &amp; Logistics</t>
        </is>
      </c>
      <c r="E36" s="3" t="inlineStr">
        <is>
          <t>Industrials</t>
        </is>
      </c>
      <c r="F36" s="5" t="n">
        <v>98.92</v>
      </c>
      <c r="G36" s="6" t="n">
        <v>-0.002923101685349483</v>
      </c>
      <c r="H36" s="6" t="n">
        <v>0.01227995224367584</v>
      </c>
      <c r="I36" s="6" t="n">
        <v>0.01186575293951364</v>
      </c>
      <c r="J36" s="6" t="n">
        <v>0.01021241849162058</v>
      </c>
      <c r="K36" s="6" t="n">
        <v>-0.09378234771229987</v>
      </c>
      <c r="L36" s="6" t="n">
        <v>-0.05124098705273328</v>
      </c>
      <c r="M36" s="6" t="n">
        <v>0.0350304330978759</v>
      </c>
      <c r="N36" s="6" t="n">
        <v>0.1974328090133366</v>
      </c>
      <c r="O36" s="6" t="n">
        <v>0.4873976109665277</v>
      </c>
      <c r="P36" s="6" t="n">
        <v>0.141499414845079</v>
      </c>
    </row>
    <row r="37">
      <c r="A37" s="3" t="n">
        <v>36</v>
      </c>
      <c r="B37" s="7" t="n">
        <v>43</v>
      </c>
      <c r="C37" s="3" t="inlineStr">
        <is>
          <t>FDN</t>
        </is>
      </c>
      <c r="D37" s="3" t="inlineStr">
        <is>
          <t>Internet &amp; Digital Services</t>
        </is>
      </c>
      <c r="E37" s="3" t="inlineStr">
        <is>
          <t>Technology</t>
        </is>
      </c>
      <c r="F37" s="5" t="n">
        <v>266.23</v>
      </c>
      <c r="G37" s="6" t="n">
        <v>-0.03434893290317242</v>
      </c>
      <c r="H37" s="6" t="n">
        <v>-0.05310141016260517</v>
      </c>
      <c r="I37" s="6" t="n">
        <v>-0.06224016657287801</v>
      </c>
      <c r="J37" s="6" t="n">
        <v>-0.077032415601893</v>
      </c>
      <c r="K37" s="6" t="n">
        <v>-0.006048142916828647</v>
      </c>
      <c r="L37" s="6" t="n">
        <v>0.01062907940779922</v>
      </c>
      <c r="M37" s="6" t="n">
        <v>0.02148642135825285</v>
      </c>
      <c r="N37" s="6" t="n">
        <v>-0.0441947195410114</v>
      </c>
      <c r="O37" s="6" t="n">
        <v>0.7633462612276867</v>
      </c>
      <c r="P37" s="6" t="n">
        <v>0.2081268426912157</v>
      </c>
    </row>
    <row r="38">
      <c r="A38" s="3" t="n">
        <v>37</v>
      </c>
      <c r="B38" s="7" t="n">
        <v>41</v>
      </c>
      <c r="C38" s="3" t="inlineStr">
        <is>
          <t>IHI</t>
        </is>
      </c>
      <c r="D38" s="3" t="inlineStr">
        <is>
          <t>Medical Devices &amp; Equipment</t>
        </is>
      </c>
      <c r="E38" s="3" t="inlineStr">
        <is>
          <t>Health Care</t>
        </is>
      </c>
      <c r="F38" s="5" t="n">
        <v>54.59</v>
      </c>
      <c r="G38" s="6" t="n">
        <v>-0.0197521727643486</v>
      </c>
      <c r="H38" s="6" t="n">
        <v>-0.006008704067000825</v>
      </c>
      <c r="I38" s="6" t="n">
        <v>0.01581686727899156</v>
      </c>
      <c r="J38" s="6" t="n">
        <v>0.06725314807602789</v>
      </c>
      <c r="K38" s="6" t="n">
        <v>0.0366969260311647</v>
      </c>
      <c r="L38" s="6" t="n">
        <v>0.0724260993040462</v>
      </c>
      <c r="M38" s="6" t="n">
        <v>-0.0878749038904092</v>
      </c>
      <c r="N38" s="6" t="n">
        <v>-0.09613418841920196</v>
      </c>
      <c r="O38" s="6" t="n">
        <v>0.2448774133653784</v>
      </c>
      <c r="P38" s="6" t="n">
        <v>0.07574382653904244</v>
      </c>
    </row>
    <row r="39">
      <c r="A39" s="3" t="n">
        <v>38</v>
      </c>
      <c r="B39" s="7" t="n">
        <v>40</v>
      </c>
      <c r="C39" s="3" t="inlineStr">
        <is>
          <t>IAI</t>
        </is>
      </c>
      <c r="D39" s="3" t="inlineStr">
        <is>
          <t>Broker-Dealers &amp; Securities Exchanges</t>
        </is>
      </c>
      <c r="E39" s="3" t="inlineStr">
        <is>
          <t>Financials</t>
        </is>
      </c>
      <c r="F39" s="5" t="n">
        <v>177.5</v>
      </c>
      <c r="G39" s="6" t="n">
        <v>-0.01552968943075406</v>
      </c>
      <c r="H39" s="6" t="n">
        <v>0.00135397439129914</v>
      </c>
      <c r="I39" s="6" t="n">
        <v>0.00932559640598507</v>
      </c>
      <c r="J39" s="6" t="n">
        <v>0.007721134410492603</v>
      </c>
      <c r="K39" s="6" t="n">
        <v>-0.04765171710033433</v>
      </c>
      <c r="L39" s="6" t="n">
        <v>0.01101064909709337</v>
      </c>
      <c r="M39" s="6" t="n">
        <v>-0.02829054285180865</v>
      </c>
      <c r="N39" s="6" t="n">
        <v>0.03431759111865973</v>
      </c>
      <c r="O39" s="6" t="n">
        <v>1.126163264160977</v>
      </c>
      <c r="P39" s="6" t="n">
        <v>0.2858753470230313</v>
      </c>
    </row>
    <row r="40">
      <c r="A40" s="3" t="n">
        <v>39</v>
      </c>
      <c r="B40" s="7" t="n">
        <v>38</v>
      </c>
      <c r="C40" s="3" t="inlineStr">
        <is>
          <t>XLU</t>
        </is>
      </c>
      <c r="D40" s="3" t="inlineStr">
        <is>
          <t>Electric &amp; Gas Utilities</t>
        </is>
      </c>
      <c r="E40" s="3" t="inlineStr">
        <is>
          <t>Utilities</t>
        </is>
      </c>
      <c r="F40" s="5" t="n">
        <v>43.43</v>
      </c>
      <c r="G40" s="6" t="n">
        <v>0.006722320807378779</v>
      </c>
      <c r="H40" s="6" t="n">
        <v>0.02044170356701969</v>
      </c>
      <c r="I40" s="6" t="n">
        <v>0.02890313307663428</v>
      </c>
      <c r="J40" s="6" t="n">
        <v>0.1011663746804683</v>
      </c>
      <c r="K40" s="6" t="n">
        <v>-0.02039099300148617</v>
      </c>
      <c r="L40" s="6" t="n">
        <v>-0.06021992753279248</v>
      </c>
      <c r="M40" s="6" t="n">
        <v>0.02512193505585136</v>
      </c>
      <c r="N40" s="6" t="n">
        <v>-0.004264770140416818</v>
      </c>
      <c r="O40" s="6" t="n">
        <v>0.6050827864532244</v>
      </c>
      <c r="P40" s="6" t="n">
        <v>0.1708442992618424</v>
      </c>
    </row>
    <row r="41">
      <c r="A41" s="3" t="n">
        <v>40</v>
      </c>
      <c r="B41" s="7" t="n">
        <v>36</v>
      </c>
      <c r="C41" s="3" t="inlineStr">
        <is>
          <t>JETS</t>
        </is>
      </c>
      <c r="D41" s="3" t="inlineStr">
        <is>
          <t>Airlines</t>
        </is>
      </c>
      <c r="E41" s="3" t="inlineStr">
        <is>
          <t>Industrials</t>
        </is>
      </c>
      <c r="F41" s="5" t="n">
        <v>26.93</v>
      </c>
      <c r="G41" s="6" t="n">
        <v>-0.02037102475827357</v>
      </c>
      <c r="H41" s="6" t="n">
        <v>0.03180076289559497</v>
      </c>
      <c r="I41" s="6" t="n">
        <v>0.0417794935306941</v>
      </c>
      <c r="J41" s="6" t="n">
        <v>-0.04571222677416042</v>
      </c>
      <c r="K41" s="6" t="n">
        <v>-0.1499368672425158</v>
      </c>
      <c r="L41" s="6" t="n">
        <v>0.05940205445908031</v>
      </c>
      <c r="M41" s="6" t="n">
        <v>-0.03649375420111434</v>
      </c>
      <c r="N41" s="6" t="n">
        <v>0.1200731998285827</v>
      </c>
      <c r="O41" s="6" t="n">
        <v>0.8064255126963433</v>
      </c>
      <c r="P41" s="6" t="n">
        <v>0.2178861344839291</v>
      </c>
    </row>
    <row r="42">
      <c r="A42" s="3" t="n">
        <v>41</v>
      </c>
      <c r="B42" s="7" t="n">
        <v>35</v>
      </c>
      <c r="C42" s="3" t="inlineStr">
        <is>
          <t>XHB</t>
        </is>
      </c>
      <c r="D42" s="3" t="inlineStr">
        <is>
          <t>Homebuilders &amp; Residential Construction</t>
        </is>
      </c>
      <c r="E42" s="3" t="inlineStr">
        <is>
          <t>Consumer Discretionary</t>
        </is>
      </c>
      <c r="F42" s="5" t="n">
        <v>100.97</v>
      </c>
      <c r="G42" s="6" t="n">
        <v>-0.002962332697814096</v>
      </c>
      <c r="H42" s="6" t="n">
        <v>0.02632653018492714</v>
      </c>
      <c r="I42" s="6" t="n">
        <v>0.06384993493592139</v>
      </c>
      <c r="J42" s="6" t="n">
        <v>0.05144228370511295</v>
      </c>
      <c r="K42" s="6" t="n">
        <v>-0.02856285093403188</v>
      </c>
      <c r="L42" s="6" t="n">
        <v>-0.04074406311646228</v>
      </c>
      <c r="M42" s="6" t="n">
        <v>-0.0591422731715987</v>
      </c>
      <c r="N42" s="6" t="n">
        <v>-0.02263457833570182</v>
      </c>
      <c r="O42" s="6" t="n">
        <v>0.4645028199309795</v>
      </c>
      <c r="P42" s="6" t="n">
        <v>0.1356122554456205</v>
      </c>
    </row>
    <row r="43">
      <c r="A43" s="3" t="n">
        <v>42</v>
      </c>
      <c r="B43" s="7" t="n">
        <v>33</v>
      </c>
      <c r="C43" s="3" t="inlineStr">
        <is>
          <t>GRID</t>
        </is>
      </c>
      <c r="D43" s="3" t="inlineStr">
        <is>
          <t>Smart Grid &amp; Electric Infrastructure</t>
        </is>
      </c>
      <c r="E43" s="3" t="inlineStr">
        <is>
          <t>Utilities</t>
        </is>
      </c>
      <c r="F43" s="5" t="n">
        <v>164.51</v>
      </c>
      <c r="G43" s="6" t="n">
        <v>-0.0342256777996528</v>
      </c>
      <c r="H43" s="6" t="n">
        <v>0.01124908970645122</v>
      </c>
      <c r="I43" s="6" t="n">
        <v>-0.03138248908373054</v>
      </c>
      <c r="J43" s="6" t="n">
        <v>-0.07114226221045583</v>
      </c>
      <c r="K43" s="6" t="n">
        <v>-0.06683657152254396</v>
      </c>
      <c r="L43" s="6" t="n">
        <v>-0.1334678623659813</v>
      </c>
      <c r="M43" s="6" t="n">
        <v>0.004412442598093369</v>
      </c>
      <c r="N43" s="6" t="n">
        <v>0.05678801275478262</v>
      </c>
      <c r="O43" s="6" t="n">
        <v>0.9747540996518138</v>
      </c>
      <c r="P43" s="6" t="n">
        <v>0.2545972792165749</v>
      </c>
    </row>
    <row r="44">
      <c r="A44" s="3" t="n">
        <v>43</v>
      </c>
      <c r="B44" s="7" t="n">
        <v>32</v>
      </c>
      <c r="C44" s="3" t="inlineStr">
        <is>
          <t>ITB</t>
        </is>
      </c>
      <c r="D44" s="3" t="inlineStr">
        <is>
          <t>Home Construction</t>
        </is>
      </c>
      <c r="E44" s="3" t="inlineStr">
        <is>
          <t>Consumer Discretionary</t>
        </is>
      </c>
      <c r="F44" s="5" t="n">
        <v>92.73999999999999</v>
      </c>
      <c r="G44" s="6" t="n">
        <v>0.006948962000561387</v>
      </c>
      <c r="H44" s="6" t="n">
        <v>0.02395934830801738</v>
      </c>
      <c r="I44" s="6" t="n">
        <v>0.07337958594817429</v>
      </c>
      <c r="J44" s="6" t="n">
        <v>0.06573203219215351</v>
      </c>
      <c r="K44" s="6" t="n">
        <v>-0.02039300434123992</v>
      </c>
      <c r="L44" s="6" t="n">
        <v>-0.0278464857574543</v>
      </c>
      <c r="M44" s="6" t="n">
        <v>-0.08011465480434266</v>
      </c>
      <c r="N44" s="6" t="n">
        <v>-0.06212940367882769</v>
      </c>
      <c r="O44" s="6" t="n">
        <v>0.3255886028939876</v>
      </c>
      <c r="P44" s="6" t="n">
        <v>0.0985072321338647</v>
      </c>
    </row>
    <row r="45">
      <c r="A45" s="3" t="n">
        <v>44</v>
      </c>
      <c r="B45" s="8" t="n">
        <v>30</v>
      </c>
      <c r="C45" s="3" t="inlineStr">
        <is>
          <t>GDX</t>
        </is>
      </c>
      <c r="D45" s="3" t="inlineStr">
        <is>
          <t>Gold Miners</t>
        </is>
      </c>
      <c r="E45" s="3" t="inlineStr">
        <is>
          <t>Materials</t>
        </is>
      </c>
      <c r="F45" s="5" t="n">
        <v>77.09</v>
      </c>
      <c r="G45" s="6" t="n">
        <v>-0.05213335051893575</v>
      </c>
      <c r="H45" s="6" t="n">
        <v>-0.03877806394878835</v>
      </c>
      <c r="I45" s="6" t="n">
        <v>-0.1210808671466751</v>
      </c>
      <c r="J45" s="6" t="n">
        <v>-0.1219818489932588</v>
      </c>
      <c r="K45" s="6" t="n">
        <v>0.004037478034935038</v>
      </c>
      <c r="L45" s="6" t="n">
        <v>-0.126854733961918</v>
      </c>
      <c r="M45" s="6" t="n">
        <v>-0.1816348318965719</v>
      </c>
      <c r="N45" s="6" t="n">
        <v>0.06515607374165544</v>
      </c>
      <c r="O45" s="6" t="n">
        <v>1.775512502467875</v>
      </c>
      <c r="P45" s="6" t="n">
        <v>0.4053388834774769</v>
      </c>
    </row>
    <row r="46">
      <c r="A46" s="3" t="n">
        <v>45</v>
      </c>
      <c r="B46" s="8" t="n">
        <v>28</v>
      </c>
      <c r="C46" s="3" t="inlineStr">
        <is>
          <t>COPX</t>
        </is>
      </c>
      <c r="D46" s="3" t="inlineStr">
        <is>
          <t>Copper Miners</t>
        </is>
      </c>
      <c r="E46" s="3" t="inlineStr">
        <is>
          <t>Materials</t>
        </is>
      </c>
      <c r="F46" s="5" t="n">
        <v>71.95999999999999</v>
      </c>
      <c r="G46" s="6" t="n">
        <v>-0.05191043955464036</v>
      </c>
      <c r="H46" s="6" t="n">
        <v>-0.01546035449494432</v>
      </c>
      <c r="I46" s="6" t="n">
        <v>-0.1002751179775447</v>
      </c>
      <c r="J46" s="6" t="n">
        <v>-0.1504132033387745</v>
      </c>
      <c r="K46" s="6" t="n">
        <v>-0.0948427788116647</v>
      </c>
      <c r="L46" s="6" t="n">
        <v>-0.09302181117330655</v>
      </c>
      <c r="M46" s="6" t="n">
        <v>-0.1486317545733348</v>
      </c>
      <c r="N46" s="6" t="n">
        <v>0.1897851662429901</v>
      </c>
      <c r="O46" s="6" t="n">
        <v>1.290839456920466</v>
      </c>
      <c r="P46" s="6" t="n">
        <v>0.3182513301953493</v>
      </c>
    </row>
    <row r="47">
      <c r="A47" s="3" t="n">
        <v>46</v>
      </c>
      <c r="B47" s="8" t="n">
        <v>27</v>
      </c>
      <c r="C47" s="3" t="inlineStr">
        <is>
          <t>FAN</t>
        </is>
      </c>
      <c r="D47" s="3" t="inlineStr">
        <is>
          <t>Wind Energy</t>
        </is>
      </c>
      <c r="E47" s="3" t="inlineStr">
        <is>
          <t>Energy</t>
        </is>
      </c>
      <c r="F47" s="5" t="n">
        <v>21.79</v>
      </c>
      <c r="G47" s="6" t="n">
        <v>-0.01536368089168427</v>
      </c>
      <c r="H47" s="6" t="n">
        <v>0.009731278617410855</v>
      </c>
      <c r="I47" s="6" t="n">
        <v>-0.01313401309695461</v>
      </c>
      <c r="J47" s="6" t="n">
        <v>-0.03924159513548731</v>
      </c>
      <c r="K47" s="6" t="n">
        <v>-0.0802960477456891</v>
      </c>
      <c r="L47" s="6" t="n">
        <v>-0.1889754623291002</v>
      </c>
      <c r="M47" s="6" t="n">
        <v>-0.02619427040025024</v>
      </c>
      <c r="N47" s="6" t="n">
        <v>0.08588576326145292</v>
      </c>
      <c r="O47" s="6" t="n">
        <v>0.6642697879432817</v>
      </c>
      <c r="P47" s="6" t="n">
        <v>0.1850624660272657</v>
      </c>
    </row>
    <row r="48">
      <c r="A48" s="3" t="n">
        <v>47</v>
      </c>
      <c r="B48" s="8" t="n">
        <v>25</v>
      </c>
      <c r="C48" s="3" t="inlineStr">
        <is>
          <t>WOOD</t>
        </is>
      </c>
      <c r="D48" s="3" t="inlineStr">
        <is>
          <t>Timber &amp; Forestry</t>
        </is>
      </c>
      <c r="E48" s="3" t="inlineStr">
        <is>
          <t>Materials</t>
        </is>
      </c>
      <c r="F48" s="5" t="n">
        <v>65.26000000000001</v>
      </c>
      <c r="G48" s="6" t="n">
        <v>-0.0003063211311326031</v>
      </c>
      <c r="H48" s="6" t="n">
        <v>-0.01553776987587296</v>
      </c>
      <c r="I48" s="6" t="n">
        <v>-0.02144249891776773</v>
      </c>
      <c r="J48" s="6" t="n">
        <v>-0.02915797454447222</v>
      </c>
      <c r="K48" s="6" t="n">
        <v>-0.09461708548245229</v>
      </c>
      <c r="L48" s="6" t="n">
        <v>-0.03785312145258801</v>
      </c>
      <c r="M48" s="6" t="n">
        <v>-0.1179891359267149</v>
      </c>
      <c r="N48" s="6" t="n">
        <v>-0.04154290168792474</v>
      </c>
      <c r="O48" s="6" t="n">
        <v>-0.02282946705692135</v>
      </c>
      <c r="P48" s="6" t="n">
        <v>-0.00766847758442657</v>
      </c>
    </row>
    <row r="49">
      <c r="A49" s="3" t="n">
        <v>48</v>
      </c>
      <c r="B49" s="8" t="n">
        <v>23</v>
      </c>
      <c r="C49" s="3" t="inlineStr">
        <is>
          <t>ITA</t>
        </is>
      </c>
      <c r="D49" s="3" t="inlineStr">
        <is>
          <t>Aerospace &amp; Defense</t>
        </is>
      </c>
      <c r="E49" s="3" t="inlineStr">
        <is>
          <t>Industrials</t>
        </is>
      </c>
      <c r="F49" s="5" t="n">
        <v>209.74</v>
      </c>
      <c r="G49" s="6" t="n">
        <v>-0.02127856973241582</v>
      </c>
      <c r="H49" s="6" t="n">
        <v>0.0371359834064533</v>
      </c>
      <c r="I49" s="6" t="n">
        <v>0.003204659422555434</v>
      </c>
      <c r="J49" s="6" t="n">
        <v>0.01235646736115581</v>
      </c>
      <c r="K49" s="6" t="n">
        <v>-0.118199568412097</v>
      </c>
      <c r="L49" s="6" t="n">
        <v>-0.03856814824612309</v>
      </c>
      <c r="M49" s="6" t="n">
        <v>-0.09515906395399776</v>
      </c>
      <c r="N49" s="6" t="n">
        <v>-0.02342240917995031</v>
      </c>
      <c r="O49" s="6" t="n">
        <v>0.9883390396766008</v>
      </c>
      <c r="P49" s="6" t="n">
        <v>0.2574676272592307</v>
      </c>
    </row>
    <row r="50">
      <c r="A50" s="3" t="n">
        <v>49</v>
      </c>
      <c r="B50" s="8" t="n">
        <v>22</v>
      </c>
      <c r="C50" s="3" t="inlineStr">
        <is>
          <t>XME</t>
        </is>
      </c>
      <c r="D50" s="3" t="inlineStr">
        <is>
          <t>Metals &amp; Mining</t>
        </is>
      </c>
      <c r="E50" s="3" t="inlineStr">
        <is>
          <t>Materials</t>
        </is>
      </c>
      <c r="F50" s="5" t="n">
        <v>97.81999999999999</v>
      </c>
      <c r="G50" s="6" t="n">
        <v>-0.0319644063274217</v>
      </c>
      <c r="H50" s="6" t="n">
        <v>0.01504614409999716</v>
      </c>
      <c r="I50" s="6" t="n">
        <v>-0.0307173853583661</v>
      </c>
      <c r="J50" s="6" t="n">
        <v>-0.05542678639521859</v>
      </c>
      <c r="K50" s="6" t="n">
        <v>-0.03901678800506014</v>
      </c>
      <c r="L50" s="6" t="n">
        <v>-0.17499611031244</v>
      </c>
      <c r="M50" s="6" t="n">
        <v>-0.1744153199699604</v>
      </c>
      <c r="N50" s="6" t="n">
        <v>0.01777416755255312</v>
      </c>
      <c r="O50" s="6" t="n">
        <v>0.9946005696408362</v>
      </c>
      <c r="P50" s="6" t="n">
        <v>0.2587862187132173</v>
      </c>
    </row>
    <row r="51">
      <c r="A51" s="3" t="n">
        <v>50</v>
      </c>
      <c r="B51" s="8" t="n">
        <v>20</v>
      </c>
      <c r="C51" s="3" t="inlineStr">
        <is>
          <t>VNQI</t>
        </is>
      </c>
      <c r="D51" s="3" t="inlineStr">
        <is>
          <t>International Real Estate</t>
        </is>
      </c>
      <c r="E51" s="3" t="inlineStr">
        <is>
          <t>Real Estate</t>
        </is>
      </c>
      <c r="F51" s="5" t="n">
        <v>42.7</v>
      </c>
      <c r="G51" s="6" t="n">
        <v>0.0009376679716459613</v>
      </c>
      <c r="H51" s="6" t="n">
        <v>-0.0002340979102675167</v>
      </c>
      <c r="I51" s="6" t="n">
        <v>0.007075453449628899</v>
      </c>
      <c r="J51" s="6" t="n">
        <v>0.004233309107194883</v>
      </c>
      <c r="K51" s="6" t="n">
        <v>-0.08290379073239973</v>
      </c>
      <c r="L51" s="6" t="n">
        <v>-0.09591358931193372</v>
      </c>
      <c r="M51" s="6" t="n">
        <v>-0.1093032543570027</v>
      </c>
      <c r="N51" s="6" t="n">
        <v>-0.05673049989398959</v>
      </c>
      <c r="O51" s="6" t="n">
        <v>0.3180998390755925</v>
      </c>
      <c r="P51" s="6" t="n">
        <v>0.09643469331594878</v>
      </c>
    </row>
    <row r="52">
      <c r="A52" s="3" t="n">
        <v>51</v>
      </c>
      <c r="B52" s="8" t="n">
        <v>19</v>
      </c>
      <c r="C52" s="3" t="inlineStr">
        <is>
          <t>SIL</t>
        </is>
      </c>
      <c r="D52" s="3" t="inlineStr">
        <is>
          <t>Silver Miners</t>
        </is>
      </c>
      <c r="E52" s="3" t="inlineStr">
        <is>
          <t>Materials</t>
        </is>
      </c>
      <c r="F52" s="5" t="n">
        <v>71.25</v>
      </c>
      <c r="G52" s="6" t="n">
        <v>-0.05579113617215703</v>
      </c>
      <c r="H52" s="6" t="n">
        <v>-0.0379421773052393</v>
      </c>
      <c r="I52" s="6" t="n">
        <v>-0.1363636363636364</v>
      </c>
      <c r="J52" s="6" t="n">
        <v>-0.1716079731384291</v>
      </c>
      <c r="K52" s="6" t="n">
        <v>-0.06483793520292047</v>
      </c>
      <c r="L52" s="6" t="n">
        <v>-0.1945330698490854</v>
      </c>
      <c r="M52" s="6" t="n">
        <v>-0.2433906418882762</v>
      </c>
      <c r="N52" s="6" t="n">
        <v>0.06823255855451493</v>
      </c>
      <c r="O52" s="6" t="n">
        <v>2.013629515490469</v>
      </c>
      <c r="P52" s="6" t="n">
        <v>0.4444304002124635</v>
      </c>
    </row>
    <row r="53">
      <c r="A53" s="3" t="n">
        <v>52</v>
      </c>
      <c r="B53" s="8" t="n">
        <v>17</v>
      </c>
      <c r="C53" s="3" t="inlineStr">
        <is>
          <t>XLC</t>
        </is>
      </c>
      <c r="D53" s="3" t="inlineStr">
        <is>
          <t>Media &amp; Interactive Media</t>
        </is>
      </c>
      <c r="E53" s="3" t="inlineStr">
        <is>
          <t>Communication</t>
        </is>
      </c>
      <c r="F53" s="5" t="n">
        <v>99.90000000000001</v>
      </c>
      <c r="G53" s="6" t="n">
        <v>-0.0129433610359031</v>
      </c>
      <c r="H53" s="6" t="n">
        <v>-0.05317032031814528</v>
      </c>
      <c r="I53" s="6" t="n">
        <v>-0.09445248547652219</v>
      </c>
      <c r="J53" s="6" t="n">
        <v>-0.09975668715013897</v>
      </c>
      <c r="K53" s="6" t="n">
        <v>-0.05958675688651738</v>
      </c>
      <c r="L53" s="6" t="n">
        <v>-0.1374989716128253</v>
      </c>
      <c r="M53" s="6" t="n">
        <v>-0.1604707639257863</v>
      </c>
      <c r="N53" s="6" t="n">
        <v>-0.1153163501944074</v>
      </c>
      <c r="O53" s="6" t="n">
        <v>0.6060887429482669</v>
      </c>
      <c r="P53" s="6" t="n">
        <v>0.1710888499820775</v>
      </c>
    </row>
    <row r="54">
      <c r="A54" s="3" t="n">
        <v>53</v>
      </c>
      <c r="B54" s="8" t="n">
        <v>15</v>
      </c>
      <c r="C54" s="3" t="inlineStr">
        <is>
          <t>FINX</t>
        </is>
      </c>
      <c r="D54" s="3" t="inlineStr">
        <is>
          <t>FinTech &amp; Digital Payments</t>
        </is>
      </c>
      <c r="E54" s="3" t="inlineStr">
        <is>
          <t>Technology</t>
        </is>
      </c>
      <c r="F54" s="5" t="n">
        <v>23.89</v>
      </c>
      <c r="G54" s="6" t="n">
        <v>-0.01501032249214718</v>
      </c>
      <c r="H54" s="6" t="n">
        <v>-0.02310746100860217</v>
      </c>
      <c r="I54" s="6" t="n">
        <v>-0.01824908530755942</v>
      </c>
      <c r="J54" s="6" t="n">
        <v>-0.01541634566314443</v>
      </c>
      <c r="K54" s="6" t="n">
        <v>-0.08060045802797766</v>
      </c>
      <c r="L54" s="6" t="n">
        <v>-0.05238331614380487</v>
      </c>
      <c r="M54" s="6" t="n">
        <v>-0.1065227730282688</v>
      </c>
      <c r="N54" s="6" t="n">
        <v>-0.2640342591872135</v>
      </c>
      <c r="O54" s="6" t="n">
        <v>0.3142769376469139</v>
      </c>
      <c r="P54" s="6" t="n">
        <v>0.09537366580426943</v>
      </c>
    </row>
    <row r="55">
      <c r="A55" s="3" t="n">
        <v>54</v>
      </c>
      <c r="B55" s="8" t="n">
        <v>14</v>
      </c>
      <c r="C55" s="3" t="inlineStr">
        <is>
          <t>BOTZ</t>
        </is>
      </c>
      <c r="D55" s="3" t="inlineStr">
        <is>
          <t>Robotics &amp; Artificial Intelligence</t>
        </is>
      </c>
      <c r="E55" s="3" t="inlineStr">
        <is>
          <t>Technology</t>
        </is>
      </c>
      <c r="F55" s="5" t="n">
        <v>32.22</v>
      </c>
      <c r="G55" s="6" t="n">
        <v>-0.03590655338088122</v>
      </c>
      <c r="H55" s="6" t="n">
        <v>-0.02422771732192541</v>
      </c>
      <c r="I55" s="6" t="n">
        <v>-0.02422771732192541</v>
      </c>
      <c r="J55" s="6" t="n">
        <v>-0.08543850016019994</v>
      </c>
      <c r="K55" s="6" t="n">
        <v>-0.0767908363324431</v>
      </c>
      <c r="L55" s="6" t="n">
        <v>-0.161609541174615</v>
      </c>
      <c r="M55" s="6" t="n">
        <v>-0.1362241627501809</v>
      </c>
      <c r="N55" s="6" t="n">
        <v>-0.1344658003891803</v>
      </c>
      <c r="O55" s="6" t="n">
        <v>0.4427269950022936</v>
      </c>
      <c r="P55" s="6" t="n">
        <v>0.1299556186402173</v>
      </c>
    </row>
    <row r="56">
      <c r="A56" s="3" t="n">
        <v>55</v>
      </c>
      <c r="B56" s="8" t="n">
        <v>12</v>
      </c>
      <c r="C56" s="3" t="inlineStr">
        <is>
          <t>AWAY</t>
        </is>
      </c>
      <c r="D56" s="3" t="inlineStr">
        <is>
          <t>Travel Tech &amp; Bookings</t>
        </is>
      </c>
      <c r="E56" s="3" t="inlineStr">
        <is>
          <t>Consumer Discretionary</t>
        </is>
      </c>
      <c r="F56" s="5" t="n">
        <v>16.84</v>
      </c>
      <c r="G56" s="6" t="n">
        <v>-0.008770390548963669</v>
      </c>
      <c r="H56" s="6" t="n">
        <v>-0.01057581083046766</v>
      </c>
      <c r="I56" s="6" t="n">
        <v>-0.01669971430977057</v>
      </c>
      <c r="J56" s="6" t="n">
        <v>-0.003196338938150745</v>
      </c>
      <c r="K56" s="6" t="n">
        <v>-0.1270088463794392</v>
      </c>
      <c r="L56" s="6" t="n">
        <v>-0.03273978746811679</v>
      </c>
      <c r="M56" s="6" t="n">
        <v>-0.1332990278902859</v>
      </c>
      <c r="N56" s="6" t="n">
        <v>-0.2114258715257092</v>
      </c>
      <c r="O56" s="6" t="n">
        <v>0.1004359486304267</v>
      </c>
      <c r="P56" s="6" t="n">
        <v>0.03241646747615734</v>
      </c>
    </row>
    <row r="57">
      <c r="A57" s="3" t="n">
        <v>56</v>
      </c>
      <c r="B57" s="8" t="n">
        <v>11</v>
      </c>
      <c r="C57" s="3" t="inlineStr">
        <is>
          <t>XAR</t>
        </is>
      </c>
      <c r="D57" s="3" t="inlineStr">
        <is>
          <t>Aerospace &amp; Defense (Equal Weight)</t>
        </is>
      </c>
      <c r="E57" s="3" t="inlineStr">
        <is>
          <t>Industrials</t>
        </is>
      </c>
      <c r="F57" s="5" t="n">
        <v>227.37</v>
      </c>
      <c r="G57" s="6" t="n">
        <v>-0.03366058223867563</v>
      </c>
      <c r="H57" s="6" t="n">
        <v>0.04398733700527946</v>
      </c>
      <c r="I57" s="6" t="n">
        <v>0.01264862759244134</v>
      </c>
      <c r="J57" s="6" t="n">
        <v>-0.01677839949324322</v>
      </c>
      <c r="K57" s="6" t="n">
        <v>-0.1344505628105548</v>
      </c>
      <c r="L57" s="6" t="n">
        <v>-0.1219342370527474</v>
      </c>
      <c r="M57" s="6" t="n">
        <v>-0.1660300342734896</v>
      </c>
      <c r="N57" s="6" t="n">
        <v>-0.08035554592217176</v>
      </c>
      <c r="O57" s="6" t="n">
        <v>1.04111105472148</v>
      </c>
      <c r="P57" s="6" t="n">
        <v>0.2684953463438917</v>
      </c>
    </row>
    <row r="58">
      <c r="A58" s="3" t="n">
        <v>57</v>
      </c>
      <c r="B58" s="8" t="n">
        <v>9</v>
      </c>
      <c r="C58" s="3" t="inlineStr">
        <is>
          <t>BETZ</t>
        </is>
      </c>
      <c r="D58" s="3" t="inlineStr">
        <is>
          <t>Casinos, Gaming &amp; Sports Betting</t>
        </is>
      </c>
      <c r="E58" s="3" t="inlineStr">
        <is>
          <t>Consumer Discretionary</t>
        </is>
      </c>
      <c r="F58" s="5" t="n">
        <v>16.71</v>
      </c>
      <c r="G58" s="6" t="n">
        <v>0.00553510934061463</v>
      </c>
      <c r="H58" s="6" t="n">
        <v>-0.01223408578537166</v>
      </c>
      <c r="I58" s="6" t="n">
        <v>0.0166676915615569</v>
      </c>
      <c r="J58" s="6" t="n">
        <v>0.02785972377697732</v>
      </c>
      <c r="K58" s="6" t="n">
        <v>-0.1308892490005513</v>
      </c>
      <c r="L58" s="6" t="n">
        <v>-0.1363683359220329</v>
      </c>
      <c r="M58" s="6" t="n">
        <v>-0.1004844234392001</v>
      </c>
      <c r="N58" s="6" t="n">
        <v>-0.1796575231596015</v>
      </c>
      <c r="O58" s="6" t="n">
        <v>0.2071717291393429</v>
      </c>
      <c r="P58" s="6" t="n">
        <v>0.06477133787280653</v>
      </c>
    </row>
    <row r="59">
      <c r="A59" s="3" t="n">
        <v>58</v>
      </c>
      <c r="B59" s="8" t="n">
        <v>7</v>
      </c>
      <c r="C59" s="3" t="inlineStr">
        <is>
          <t>ICLN</t>
        </is>
      </c>
      <c r="D59" s="3" t="inlineStr">
        <is>
          <t>Clean &amp; Renewable Energy</t>
        </is>
      </c>
      <c r="E59" s="3" t="inlineStr">
        <is>
          <t>Energy</t>
        </is>
      </c>
      <c r="F59" s="5" t="n">
        <v>15.31</v>
      </c>
      <c r="G59" s="6" t="n">
        <v>-0.02421919508791459</v>
      </c>
      <c r="H59" s="6" t="n">
        <v>-0.04431960161417414</v>
      </c>
      <c r="I59" s="6" t="n">
        <v>-0.06246169680678537</v>
      </c>
      <c r="J59" s="6" t="n">
        <v>-0.09941174002254716</v>
      </c>
      <c r="K59" s="6" t="n">
        <v>-0.1335596857095331</v>
      </c>
      <c r="L59" s="6" t="n">
        <v>-0.2609007217379462</v>
      </c>
      <c r="M59" s="6" t="n">
        <v>-0.1542097740284741</v>
      </c>
      <c r="N59" s="6" t="n">
        <v>-0.09157203650801304</v>
      </c>
      <c r="O59" s="6" t="n">
        <v>0.2455541054594605</v>
      </c>
      <c r="P59" s="6" t="n">
        <v>0.07593870931094093</v>
      </c>
    </row>
    <row r="60">
      <c r="A60" s="3" t="n">
        <v>59</v>
      </c>
      <c r="B60" s="8" t="n">
        <v>6</v>
      </c>
      <c r="C60" s="3" t="inlineStr">
        <is>
          <t>LIT</t>
        </is>
      </c>
      <c r="D60" s="3" t="inlineStr">
        <is>
          <t>Lithium &amp; Battery Tech</t>
        </is>
      </c>
      <c r="E60" s="3" t="inlineStr">
        <is>
          <t>Materials</t>
        </is>
      </c>
      <c r="F60" s="5" t="n">
        <v>59.81</v>
      </c>
      <c r="G60" s="6" t="n">
        <v>-0.01854278435974088</v>
      </c>
      <c r="H60" s="6" t="n">
        <v>-0.01433749056541378</v>
      </c>
      <c r="I60" s="6" t="n">
        <v>-0.06619830564317875</v>
      </c>
      <c r="J60" s="6" t="n">
        <v>-0.1258403540788493</v>
      </c>
      <c r="K60" s="6" t="n">
        <v>-0.1432459036674427</v>
      </c>
      <c r="L60" s="6" t="n">
        <v>-0.3192757510058797</v>
      </c>
      <c r="M60" s="6" t="n">
        <v>-0.1412850595920231</v>
      </c>
      <c r="N60" s="6" t="n">
        <v>-0.04623576349217573</v>
      </c>
      <c r="O60" s="6" t="n">
        <v>0.2788091345414683</v>
      </c>
      <c r="P60" s="6" t="n">
        <v>0.08543022276641699</v>
      </c>
    </row>
    <row r="61">
      <c r="A61" s="3" t="n">
        <v>60</v>
      </c>
      <c r="B61" s="8" t="n">
        <v>4</v>
      </c>
      <c r="C61" s="3" t="inlineStr">
        <is>
          <t>TAN</t>
        </is>
      </c>
      <c r="D61" s="3" t="inlineStr">
        <is>
          <t>Solar Energy</t>
        </is>
      </c>
      <c r="E61" s="3" t="inlineStr">
        <is>
          <t>Energy</t>
        </is>
      </c>
      <c r="F61" s="5" t="n">
        <v>40.2</v>
      </c>
      <c r="G61" s="6" t="n">
        <v>-0.0237979488823159</v>
      </c>
      <c r="H61" s="6" t="n">
        <v>-0.02118331965788656</v>
      </c>
      <c r="I61" s="6" t="n">
        <v>-0.03942647004400623</v>
      </c>
      <c r="J61" s="6" t="n">
        <v>-0.08574028549238655</v>
      </c>
      <c r="K61" s="6" t="n">
        <v>-0.1934189277715701</v>
      </c>
      <c r="L61" s="6" t="n">
        <v>-0.3117616697833199</v>
      </c>
      <c r="M61" s="6" t="n">
        <v>-0.2534818588294199</v>
      </c>
      <c r="N61" s="6" t="n">
        <v>-0.1577623895142419</v>
      </c>
      <c r="O61" s="6" t="n">
        <v>-0.02209843444831727</v>
      </c>
      <c r="P61" s="6" t="n">
        <v>-0.00742108102736494</v>
      </c>
    </row>
    <row r="62">
      <c r="A62" s="3" t="n">
        <v>61</v>
      </c>
      <c r="B62" s="8" t="n">
        <v>3</v>
      </c>
      <c r="C62" s="3" t="inlineStr">
        <is>
          <t>URA</t>
        </is>
      </c>
      <c r="D62" s="3" t="inlineStr">
        <is>
          <t>Uranium &amp; Nuclear Energy</t>
        </is>
      </c>
      <c r="E62" s="3" t="inlineStr">
        <is>
          <t>Energy</t>
        </is>
      </c>
      <c r="F62" s="5" t="n">
        <v>33.73</v>
      </c>
      <c r="G62" s="6" t="n">
        <v>-0.05571113131187133</v>
      </c>
      <c r="H62" s="6" t="n">
        <v>-0.01114045914147277</v>
      </c>
      <c r="I62" s="6" t="n">
        <v>-0.04798195733267063</v>
      </c>
      <c r="J62" s="6" t="n">
        <v>-0.1535758887383432</v>
      </c>
      <c r="K62" s="6" t="n">
        <v>-0.1508056770991398</v>
      </c>
      <c r="L62" s="6" t="n">
        <v>-0.4021623424865336</v>
      </c>
      <c r="M62" s="6" t="n">
        <v>-0.3866157753647704</v>
      </c>
      <c r="N62" s="6" t="n">
        <v>-0.371059562830297</v>
      </c>
      <c r="O62" s="6" t="n">
        <v>0.4956633188350186</v>
      </c>
      <c r="P62" s="6" t="n">
        <v>0.1436100086674816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cols>
    <col width="50" customWidth="1" min="1" max="1"/>
    <col width="17" customWidth="1" min="2" max="2"/>
    <col width="38" customWidth="1" min="3" max="3"/>
    <col width="24" customWidth="1" min="4" max="4"/>
    <col width="24" customWidth="1" min="5" max="5"/>
    <col width="11" customWidth="1" min="6" max="6"/>
    <col width="18" customWidth="1" min="7" max="7"/>
    <col width="20" customWidth="1" min="8" max="8"/>
    <col width="39" customWidth="1" min="9" max="9"/>
    <col width="24" customWidth="1" min="10" max="10"/>
    <col width="27" customWidth="1" min="11" max="11"/>
  </cols>
  <sheetData>
    <row r="1">
      <c r="A1" s="9">
        <f>== IBD RELATIVE STRENGTH LEADERS &amp; LAGGARDS ===</f>
        <v/>
      </c>
    </row>
    <row r="2">
      <c r="A2" s="10" t="inlineStr">
        <is>
          <t>Top 10 - Rank</t>
        </is>
      </c>
      <c r="B2" s="10" t="inlineStr">
        <is>
          <t>Top 10 - Ticker</t>
        </is>
      </c>
      <c r="C2" s="10" t="inlineStr">
        <is>
          <t>Top 10 - Subgroup Name</t>
        </is>
      </c>
      <c r="D2" s="10" t="inlineStr">
        <is>
          <t>Top 10 - Sector</t>
        </is>
      </c>
      <c r="E2" s="10" t="inlineStr">
        <is>
          <t>Top 10 - IBD_RS_Rating</t>
        </is>
      </c>
      <c r="F2" t="inlineStr"/>
      <c r="G2" s="10" t="inlineStr">
        <is>
          <t>Bottom 10 - Rank</t>
        </is>
      </c>
      <c r="H2" s="10" t="inlineStr">
        <is>
          <t>Bottom 10 - Ticker</t>
        </is>
      </c>
      <c r="I2" s="10" t="inlineStr">
        <is>
          <t>Bottom 10 - Subgroup Name</t>
        </is>
      </c>
      <c r="J2" s="10" t="inlineStr">
        <is>
          <t>Bottom 10 - Sector</t>
        </is>
      </c>
      <c r="K2" s="10" t="inlineStr">
        <is>
          <t>Bottom 10 - IBD_RS_Rating</t>
        </is>
      </c>
    </row>
    <row r="3">
      <c r="A3" t="n">
        <v>1</v>
      </c>
      <c r="B3" t="inlineStr">
        <is>
          <t>IDNA</t>
        </is>
      </c>
      <c r="C3" t="inlineStr">
        <is>
          <t>Genomics &amp; Immunology</t>
        </is>
      </c>
      <c r="D3" t="inlineStr">
        <is>
          <t>Health Care</t>
        </is>
      </c>
      <c r="E3" t="n">
        <v>99</v>
      </c>
      <c r="F3" t="inlineStr"/>
      <c r="G3" t="n">
        <v>52</v>
      </c>
      <c r="H3" t="inlineStr">
        <is>
          <t>URA</t>
        </is>
      </c>
      <c r="I3" t="inlineStr">
        <is>
          <t>Uranium &amp; Nuclear Energy</t>
        </is>
      </c>
      <c r="J3" t="inlineStr">
        <is>
          <t>Energy</t>
        </is>
      </c>
      <c r="K3" t="n">
        <v>3</v>
      </c>
    </row>
    <row r="4">
      <c r="A4" t="n">
        <v>2</v>
      </c>
      <c r="B4" t="inlineStr">
        <is>
          <t>HACK</t>
        </is>
      </c>
      <c r="C4" t="inlineStr">
        <is>
          <t>Cybersecurity</t>
        </is>
      </c>
      <c r="D4" t="inlineStr">
        <is>
          <t>Technology</t>
        </is>
      </c>
      <c r="E4" t="n">
        <v>97</v>
      </c>
      <c r="F4" t="inlineStr"/>
      <c r="G4" t="n">
        <v>53</v>
      </c>
      <c r="H4" t="inlineStr">
        <is>
          <t>TAN</t>
        </is>
      </c>
      <c r="I4" t="inlineStr">
        <is>
          <t>Solar Energy</t>
        </is>
      </c>
      <c r="J4" t="inlineStr">
        <is>
          <t>Energy</t>
        </is>
      </c>
      <c r="K4" t="n">
        <v>4</v>
      </c>
    </row>
    <row r="5">
      <c r="A5" t="n">
        <v>3</v>
      </c>
      <c r="B5" t="inlineStr">
        <is>
          <t>XOP</t>
        </is>
      </c>
      <c r="C5" t="inlineStr">
        <is>
          <t>Oil &amp; Gas Exploration &amp; Production</t>
        </is>
      </c>
      <c r="D5" t="inlineStr">
        <is>
          <t>Energy</t>
        </is>
      </c>
      <c r="E5" t="n">
        <v>96</v>
      </c>
      <c r="F5" t="inlineStr"/>
      <c r="G5" t="n">
        <v>54</v>
      </c>
      <c r="H5" t="inlineStr">
        <is>
          <t>LIT</t>
        </is>
      </c>
      <c r="I5" t="inlineStr">
        <is>
          <t>Lithium &amp; Battery Tech</t>
        </is>
      </c>
      <c r="J5" t="inlineStr">
        <is>
          <t>Materials</t>
        </is>
      </c>
      <c r="K5" t="n">
        <v>6</v>
      </c>
    </row>
    <row r="6">
      <c r="A6" t="n">
        <v>4</v>
      </c>
      <c r="B6" t="inlineStr">
        <is>
          <t>CIBR</t>
        </is>
      </c>
      <c r="C6" t="inlineStr">
        <is>
          <t>Cybersecurity Leaders</t>
        </is>
      </c>
      <c r="D6" t="inlineStr">
        <is>
          <t>Technology</t>
        </is>
      </c>
      <c r="E6" t="n">
        <v>94</v>
      </c>
      <c r="F6" t="inlineStr"/>
      <c r="G6" t="n">
        <v>55</v>
      </c>
      <c r="H6" t="inlineStr">
        <is>
          <t>ICLN</t>
        </is>
      </c>
      <c r="I6" t="inlineStr">
        <is>
          <t>Clean &amp; Renewable Energy</t>
        </is>
      </c>
      <c r="J6" t="inlineStr">
        <is>
          <t>Energy</t>
        </is>
      </c>
      <c r="K6" t="n">
        <v>7</v>
      </c>
    </row>
    <row r="7">
      <c r="A7" t="n">
        <v>5</v>
      </c>
      <c r="B7" t="inlineStr">
        <is>
          <t>IBB</t>
        </is>
      </c>
      <c r="C7" t="inlineStr">
        <is>
          <t>Biotechnology (Market Weight)</t>
        </is>
      </c>
      <c r="D7" t="inlineStr">
        <is>
          <t>Health Care</t>
        </is>
      </c>
      <c r="E7" t="n">
        <v>93</v>
      </c>
      <c r="F7" t="inlineStr"/>
      <c r="G7" t="n">
        <v>56</v>
      </c>
      <c r="H7" t="inlineStr">
        <is>
          <t>BETZ</t>
        </is>
      </c>
      <c r="I7" t="inlineStr">
        <is>
          <t>Casinos, Gaming &amp; Sports Betting</t>
        </is>
      </c>
      <c r="J7" t="inlineStr">
        <is>
          <t>Consumer Discretionary</t>
        </is>
      </c>
      <c r="K7" t="n">
        <v>9</v>
      </c>
    </row>
    <row r="8">
      <c r="A8" t="n">
        <v>6</v>
      </c>
      <c r="B8" t="inlineStr">
        <is>
          <t>CLOU</t>
        </is>
      </c>
      <c r="C8" t="inlineStr">
        <is>
          <t>Cloud Computing &amp; SaaS</t>
        </is>
      </c>
      <c r="D8" t="inlineStr">
        <is>
          <t>Technology</t>
        </is>
      </c>
      <c r="E8" t="n">
        <v>91</v>
      </c>
      <c r="F8" t="inlineStr"/>
      <c r="G8" t="n">
        <v>57</v>
      </c>
      <c r="H8" t="inlineStr">
        <is>
          <t>XAR</t>
        </is>
      </c>
      <c r="I8" t="inlineStr">
        <is>
          <t>Aerospace &amp; Defense (Equal Weight)</t>
        </is>
      </c>
      <c r="J8" t="inlineStr">
        <is>
          <t>Industrials</t>
        </is>
      </c>
      <c r="K8" t="n">
        <v>11</v>
      </c>
    </row>
    <row r="9">
      <c r="A9" t="n">
        <v>7</v>
      </c>
      <c r="B9" t="inlineStr">
        <is>
          <t>FCG</t>
        </is>
      </c>
      <c r="C9" t="inlineStr">
        <is>
          <t>Natural Gas Producers</t>
        </is>
      </c>
      <c r="D9" t="inlineStr">
        <is>
          <t>Energy</t>
        </is>
      </c>
      <c r="E9" t="n">
        <v>89</v>
      </c>
      <c r="F9" t="inlineStr"/>
      <c r="G9" t="n">
        <v>58</v>
      </c>
      <c r="H9" t="inlineStr">
        <is>
          <t>AWAY</t>
        </is>
      </c>
      <c r="I9" t="inlineStr">
        <is>
          <t>Travel Tech &amp; Bookings</t>
        </is>
      </c>
      <c r="J9" t="inlineStr">
        <is>
          <t>Consumer Discretionary</t>
        </is>
      </c>
      <c r="K9" t="n">
        <v>12</v>
      </c>
    </row>
    <row r="10">
      <c r="A10" t="n">
        <v>8</v>
      </c>
      <c r="B10" t="inlineStr">
        <is>
          <t>IHF</t>
        </is>
      </c>
      <c r="C10" t="inlineStr">
        <is>
          <t>Health Care Providers &amp; Managed Care</t>
        </is>
      </c>
      <c r="D10" t="inlineStr">
        <is>
          <t>Health Care</t>
        </is>
      </c>
      <c r="E10" t="n">
        <v>88</v>
      </c>
      <c r="F10" t="inlineStr"/>
      <c r="G10" t="n">
        <v>59</v>
      </c>
      <c r="H10" t="inlineStr">
        <is>
          <t>BOTZ</t>
        </is>
      </c>
      <c r="I10" t="inlineStr">
        <is>
          <t>Robotics &amp; Artificial Intelligence</t>
        </is>
      </c>
      <c r="J10" t="inlineStr">
        <is>
          <t>Technology</t>
        </is>
      </c>
      <c r="K10" t="n">
        <v>14</v>
      </c>
    </row>
    <row r="11">
      <c r="A11" t="n">
        <v>9</v>
      </c>
      <c r="B11" t="inlineStr">
        <is>
          <t>XBI</t>
        </is>
      </c>
      <c r="C11" t="inlineStr">
        <is>
          <t>Biotechnology (Equal Weight)</t>
        </is>
      </c>
      <c r="D11" t="inlineStr">
        <is>
          <t>Health Care</t>
        </is>
      </c>
      <c r="E11" t="n">
        <v>86</v>
      </c>
      <c r="F11" t="inlineStr"/>
      <c r="G11" t="n">
        <v>60</v>
      </c>
      <c r="H11" t="inlineStr">
        <is>
          <t>FINX</t>
        </is>
      </c>
      <c r="I11" t="inlineStr">
        <is>
          <t>FinTech &amp; Digital Payments</t>
        </is>
      </c>
      <c r="J11" t="inlineStr">
        <is>
          <t>Technology</t>
        </is>
      </c>
      <c r="K11" t="n">
        <v>15</v>
      </c>
    </row>
    <row r="12">
      <c r="A12" t="n">
        <v>10</v>
      </c>
      <c r="B12" t="inlineStr">
        <is>
          <t>OIH</t>
        </is>
      </c>
      <c r="C12" t="inlineStr">
        <is>
          <t>Oil Services &amp; Equipment</t>
        </is>
      </c>
      <c r="D12" t="inlineStr">
        <is>
          <t>Energy</t>
        </is>
      </c>
      <c r="E12" t="n">
        <v>85</v>
      </c>
      <c r="F12" t="inlineStr"/>
      <c r="G12" t="n">
        <v>61</v>
      </c>
      <c r="H12" t="inlineStr">
        <is>
          <t>XLC</t>
        </is>
      </c>
      <c r="I12" t="inlineStr">
        <is>
          <t>Media &amp; Interactive Media</t>
        </is>
      </c>
      <c r="J12" t="inlineStr">
        <is>
          <t>Communication</t>
        </is>
      </c>
      <c r="K12" t="n">
        <v>17</v>
      </c>
    </row>
    <row r="13"/>
    <row r="14"/>
    <row r="15">
      <c r="A15" s="9">
        <f>== PAST 1 MONTH LEADERS &amp; LAGGARDS ===</f>
        <v/>
      </c>
    </row>
    <row r="16">
      <c r="A16" s="10" t="inlineStr">
        <is>
          <t>Top 10 - Rank</t>
        </is>
      </c>
      <c r="B16" s="10" t="inlineStr">
        <is>
          <t>Top 10 - Ticker</t>
        </is>
      </c>
      <c r="C16" s="10" t="inlineStr">
        <is>
          <t>Top 10 - Subgroup Name</t>
        </is>
      </c>
      <c r="D16" s="10" t="inlineStr">
        <is>
          <t>Top 10 - Sector</t>
        </is>
      </c>
      <c r="E16" s="10" t="inlineStr">
        <is>
          <t>Top 10 - 1M</t>
        </is>
      </c>
      <c r="F16" t="inlineStr"/>
      <c r="G16" s="10" t="inlineStr">
        <is>
          <t>Bottom 10 - Rank</t>
        </is>
      </c>
      <c r="H16" s="10" t="inlineStr">
        <is>
          <t>Bottom 10 - Ticker</t>
        </is>
      </c>
      <c r="I16" s="10" t="inlineStr">
        <is>
          <t>Bottom 10 - Subgroup Name</t>
        </is>
      </c>
      <c r="J16" s="10" t="inlineStr">
        <is>
          <t>Bottom 10 - Sector</t>
        </is>
      </c>
      <c r="K16" s="10" t="inlineStr">
        <is>
          <t>Bottom 10 - 1M</t>
        </is>
      </c>
    </row>
    <row r="17">
      <c r="A17" t="n">
        <v>1</v>
      </c>
      <c r="B17" t="inlineStr">
        <is>
          <t>FCG</t>
        </is>
      </c>
      <c r="C17" t="inlineStr">
        <is>
          <t>Natural Gas Producers</t>
        </is>
      </c>
      <c r="D17" t="inlineStr">
        <is>
          <t>Energy</t>
        </is>
      </c>
      <c r="E17" s="11" t="n">
        <v>0.1458625449032795</v>
      </c>
      <c r="F17" t="inlineStr"/>
      <c r="G17" t="n">
        <v>52</v>
      </c>
      <c r="H17" t="inlineStr">
        <is>
          <t>SIL</t>
        </is>
      </c>
      <c r="I17" t="inlineStr">
        <is>
          <t>Silver Miners</t>
        </is>
      </c>
      <c r="J17" t="inlineStr">
        <is>
          <t>Materials</t>
        </is>
      </c>
      <c r="K17" s="11" t="n">
        <v>-0.1716079731384291</v>
      </c>
    </row>
    <row r="18">
      <c r="A18" t="n">
        <v>2</v>
      </c>
      <c r="B18" t="inlineStr">
        <is>
          <t>XOP</t>
        </is>
      </c>
      <c r="C18" t="inlineStr">
        <is>
          <t>Oil &amp; Gas Exploration &amp; Production</t>
        </is>
      </c>
      <c r="D18" t="inlineStr">
        <is>
          <t>Energy</t>
        </is>
      </c>
      <c r="E18" s="11" t="n">
        <v>0.1362292557092402</v>
      </c>
      <c r="F18" t="inlineStr"/>
      <c r="G18" t="n">
        <v>53</v>
      </c>
      <c r="H18" t="inlineStr">
        <is>
          <t>BDRY</t>
        </is>
      </c>
      <c r="I18" t="inlineStr">
        <is>
          <t>Dry Bulk Shipping &amp; Maritime Freight</t>
        </is>
      </c>
      <c r="J18" t="inlineStr">
        <is>
          <t>Industrials</t>
        </is>
      </c>
      <c r="K18" s="11" t="n">
        <v>-0.1621993525370784</v>
      </c>
    </row>
    <row r="19">
      <c r="A19" t="n">
        <v>3</v>
      </c>
      <c r="B19" t="inlineStr">
        <is>
          <t>KBWP</t>
        </is>
      </c>
      <c r="C19" t="inlineStr">
        <is>
          <t>Insurance Underwriters</t>
        </is>
      </c>
      <c r="D19" t="inlineStr">
        <is>
          <t>Financials</t>
        </is>
      </c>
      <c r="E19" s="11" t="n">
        <v>0.1295240216784754</v>
      </c>
      <c r="F19" t="inlineStr"/>
      <c r="G19" t="n">
        <v>54</v>
      </c>
      <c r="H19" t="inlineStr">
        <is>
          <t>URA</t>
        </is>
      </c>
      <c r="I19" t="inlineStr">
        <is>
          <t>Uranium &amp; Nuclear Energy</t>
        </is>
      </c>
      <c r="J19" t="inlineStr">
        <is>
          <t>Energy</t>
        </is>
      </c>
      <c r="K19" s="11" t="n">
        <v>-0.1535758887383432</v>
      </c>
    </row>
    <row r="20">
      <c r="A20" t="n">
        <v>4</v>
      </c>
      <c r="B20" t="inlineStr">
        <is>
          <t>IYK</t>
        </is>
      </c>
      <c r="C20" t="inlineStr">
        <is>
          <t>Consumer Staples Products</t>
        </is>
      </c>
      <c r="D20" t="inlineStr">
        <is>
          <t>Consumer Staples</t>
        </is>
      </c>
      <c r="E20" s="11" t="n">
        <v>0.1032093181944924</v>
      </c>
      <c r="F20" t="inlineStr"/>
      <c r="G20" t="n">
        <v>55</v>
      </c>
      <c r="H20" t="inlineStr">
        <is>
          <t>COPX</t>
        </is>
      </c>
      <c r="I20" t="inlineStr">
        <is>
          <t>Copper Miners</t>
        </is>
      </c>
      <c r="J20" t="inlineStr">
        <is>
          <t>Materials</t>
        </is>
      </c>
      <c r="K20" s="11" t="n">
        <v>-0.1504132033387745</v>
      </c>
    </row>
    <row r="21">
      <c r="A21" t="n">
        <v>5</v>
      </c>
      <c r="B21" t="inlineStr">
        <is>
          <t>XLU</t>
        </is>
      </c>
      <c r="C21" t="inlineStr">
        <is>
          <t>Electric &amp; Gas Utilities</t>
        </is>
      </c>
      <c r="D21" t="inlineStr">
        <is>
          <t>Utilities</t>
        </is>
      </c>
      <c r="E21" s="11" t="n">
        <v>0.1011663746804683</v>
      </c>
      <c r="F21" t="inlineStr"/>
      <c r="G21" t="n">
        <v>56</v>
      </c>
      <c r="H21" t="inlineStr">
        <is>
          <t>XSD</t>
        </is>
      </c>
      <c r="I21" t="inlineStr">
        <is>
          <t>Semiconductors - Equal Weight</t>
        </is>
      </c>
      <c r="J21" t="inlineStr">
        <is>
          <t>Technology</t>
        </is>
      </c>
      <c r="K21" s="11" t="n">
        <v>-0.1463690754283535</v>
      </c>
    </row>
    <row r="22">
      <c r="A22" t="n">
        <v>6</v>
      </c>
      <c r="B22" t="inlineStr">
        <is>
          <t>IAK</t>
        </is>
      </c>
      <c r="C22" t="inlineStr">
        <is>
          <t>Property &amp; Casualty Insurance</t>
        </is>
      </c>
      <c r="D22" t="inlineStr">
        <is>
          <t>Financials</t>
        </is>
      </c>
      <c r="E22" s="11" t="n">
        <v>0.09780920403083226</v>
      </c>
      <c r="F22" t="inlineStr"/>
      <c r="G22" t="n">
        <v>57</v>
      </c>
      <c r="H22" t="inlineStr">
        <is>
          <t>SMH</t>
        </is>
      </c>
      <c r="I22" t="inlineStr">
        <is>
          <t>Semiconductor Manufacturers</t>
        </is>
      </c>
      <c r="J22" t="inlineStr">
        <is>
          <t>Technology</t>
        </is>
      </c>
      <c r="K22" s="11" t="n">
        <v>-0.1420525611915024</v>
      </c>
    </row>
    <row r="23">
      <c r="A23" t="n">
        <v>7</v>
      </c>
      <c r="B23" t="inlineStr">
        <is>
          <t>IHF</t>
        </is>
      </c>
      <c r="C23" t="inlineStr">
        <is>
          <t>Health Care Providers &amp; Managed Care</t>
        </is>
      </c>
      <c r="D23" t="inlineStr">
        <is>
          <t>Health Care</t>
        </is>
      </c>
      <c r="E23" s="11" t="n">
        <v>0.09200217331415961</v>
      </c>
      <c r="F23" t="inlineStr"/>
      <c r="G23" t="n">
        <v>58</v>
      </c>
      <c r="H23" t="inlineStr">
        <is>
          <t>LIT</t>
        </is>
      </c>
      <c r="I23" t="inlineStr">
        <is>
          <t>Lithium &amp; Battery Tech</t>
        </is>
      </c>
      <c r="J23" t="inlineStr">
        <is>
          <t>Materials</t>
        </is>
      </c>
      <c r="K23" s="11" t="n">
        <v>-0.1258403540788493</v>
      </c>
    </row>
    <row r="24">
      <c r="A24" t="n">
        <v>8</v>
      </c>
      <c r="B24" t="inlineStr">
        <is>
          <t>OIH</t>
        </is>
      </c>
      <c r="C24" t="inlineStr">
        <is>
          <t>Oil Services &amp; Equipment</t>
        </is>
      </c>
      <c r="D24" t="inlineStr">
        <is>
          <t>Energy</t>
        </is>
      </c>
      <c r="E24" s="11" t="n">
        <v>0.08774483345791895</v>
      </c>
      <c r="F24" t="inlineStr"/>
      <c r="G24" t="n">
        <v>59</v>
      </c>
      <c r="H24" t="inlineStr">
        <is>
          <t>GDX</t>
        </is>
      </c>
      <c r="I24" t="inlineStr">
        <is>
          <t>Gold Miners</t>
        </is>
      </c>
      <c r="J24" t="inlineStr">
        <is>
          <t>Materials</t>
        </is>
      </c>
      <c r="K24" s="11" t="n">
        <v>-0.1219818489932588</v>
      </c>
    </row>
    <row r="25">
      <c r="A25" t="n">
        <v>9</v>
      </c>
      <c r="B25" t="inlineStr">
        <is>
          <t>XRT</t>
        </is>
      </c>
      <c r="C25" t="inlineStr">
        <is>
          <t>Retail - Broad / Omnichannel</t>
        </is>
      </c>
      <c r="D25" t="inlineStr">
        <is>
          <t>Consumer Discretionary</t>
        </is>
      </c>
      <c r="E25" s="11" t="n">
        <v>0.07997564909057897</v>
      </c>
      <c r="F25" t="inlineStr"/>
      <c r="G25" t="n">
        <v>60</v>
      </c>
      <c r="H25" t="inlineStr">
        <is>
          <t>XLC</t>
        </is>
      </c>
      <c r="I25" t="inlineStr">
        <is>
          <t>Media &amp; Interactive Media</t>
        </is>
      </c>
      <c r="J25" t="inlineStr">
        <is>
          <t>Communication</t>
        </is>
      </c>
      <c r="K25" s="11" t="n">
        <v>-0.09975668715013897</v>
      </c>
    </row>
    <row r="26">
      <c r="A26" t="n">
        <v>10</v>
      </c>
      <c r="B26" t="inlineStr">
        <is>
          <t>PEJ</t>
        </is>
      </c>
      <c r="C26" t="inlineStr">
        <is>
          <t>Leisure &amp; Entertainment</t>
        </is>
      </c>
      <c r="D26" t="inlineStr">
        <is>
          <t>Consumer Discretionary</t>
        </is>
      </c>
      <c r="E26" s="11" t="n">
        <v>0.07115198257474842</v>
      </c>
      <c r="F26" t="inlineStr"/>
      <c r="G26" t="n">
        <v>61</v>
      </c>
      <c r="H26" t="inlineStr">
        <is>
          <t>ICLN</t>
        </is>
      </c>
      <c r="I26" t="inlineStr">
        <is>
          <t>Clean &amp; Renewable Energy</t>
        </is>
      </c>
      <c r="J26" t="inlineStr">
        <is>
          <t>Energy</t>
        </is>
      </c>
      <c r="K26" s="11" t="n">
        <v>-0.09941174002254716</v>
      </c>
    </row>
    <row r="27"/>
    <row r="28"/>
    <row r="29">
      <c r="A29" s="9">
        <f>== PAST 3 MONTHS LEADERS &amp; LAGGARDS ===</f>
        <v/>
      </c>
    </row>
    <row r="30">
      <c r="A30" s="10" t="inlineStr">
        <is>
          <t>Top 10 - Rank</t>
        </is>
      </c>
      <c r="B30" s="10" t="inlineStr">
        <is>
          <t>Top 10 - Ticker</t>
        </is>
      </c>
      <c r="C30" s="10" t="inlineStr">
        <is>
          <t>Top 10 - Subgroup Name</t>
        </is>
      </c>
      <c r="D30" s="10" t="inlineStr">
        <is>
          <t>Top 10 - Sector</t>
        </is>
      </c>
      <c r="E30" s="10" t="inlineStr">
        <is>
          <t>Top 10 - 3M</t>
        </is>
      </c>
      <c r="F30" t="inlineStr"/>
      <c r="G30" s="10" t="inlineStr">
        <is>
          <t>Bottom 10 - Rank</t>
        </is>
      </c>
      <c r="H30" s="10" t="inlineStr">
        <is>
          <t>Bottom 10 - Ticker</t>
        </is>
      </c>
      <c r="I30" s="10" t="inlineStr">
        <is>
          <t>Bottom 10 - Subgroup Name</t>
        </is>
      </c>
      <c r="J30" s="10" t="inlineStr">
        <is>
          <t>Bottom 10 - Sector</t>
        </is>
      </c>
      <c r="K30" s="10" t="inlineStr">
        <is>
          <t>Bottom 10 - 3M</t>
        </is>
      </c>
    </row>
    <row r="31">
      <c r="A31" t="n">
        <v>1</v>
      </c>
      <c r="B31" t="inlineStr">
        <is>
          <t>IDNA</t>
        </is>
      </c>
      <c r="C31" t="inlineStr">
        <is>
          <t>Genomics &amp; Immunology</t>
        </is>
      </c>
      <c r="D31" t="inlineStr">
        <is>
          <t>Health Care</t>
        </is>
      </c>
      <c r="E31" s="11" t="n">
        <v>0.3040957763651424</v>
      </c>
      <c r="F31" t="inlineStr"/>
      <c r="G31" t="n">
        <v>52</v>
      </c>
      <c r="H31" t="inlineStr">
        <is>
          <t>TAN</t>
        </is>
      </c>
      <c r="I31" t="inlineStr">
        <is>
          <t>Solar Energy</t>
        </is>
      </c>
      <c r="J31" t="inlineStr">
        <is>
          <t>Energy</t>
        </is>
      </c>
      <c r="K31" s="11" t="n">
        <v>-0.1934189277715701</v>
      </c>
    </row>
    <row r="32">
      <c r="A32" t="n">
        <v>2</v>
      </c>
      <c r="B32" t="inlineStr">
        <is>
          <t>HACK</t>
        </is>
      </c>
      <c r="C32" t="inlineStr">
        <is>
          <t>Cybersecurity</t>
        </is>
      </c>
      <c r="D32" t="inlineStr">
        <is>
          <t>Technology</t>
        </is>
      </c>
      <c r="E32" s="11" t="n">
        <v>0.1795868572829593</v>
      </c>
      <c r="F32" t="inlineStr"/>
      <c r="G32" t="n">
        <v>53</v>
      </c>
      <c r="H32" t="inlineStr">
        <is>
          <t>URA</t>
        </is>
      </c>
      <c r="I32" t="inlineStr">
        <is>
          <t>Uranium &amp; Nuclear Energy</t>
        </is>
      </c>
      <c r="J32" t="inlineStr">
        <is>
          <t>Energy</t>
        </is>
      </c>
      <c r="K32" s="11" t="n">
        <v>-0.1508056770991398</v>
      </c>
    </row>
    <row r="33">
      <c r="A33" t="n">
        <v>3</v>
      </c>
      <c r="B33" t="inlineStr">
        <is>
          <t>XOP</t>
        </is>
      </c>
      <c r="C33" t="inlineStr">
        <is>
          <t>Oil &amp; Gas Exploration &amp; Production</t>
        </is>
      </c>
      <c r="D33" t="inlineStr">
        <is>
          <t>Energy</t>
        </is>
      </c>
      <c r="E33" s="11" t="n">
        <v>0.1698544674503184</v>
      </c>
      <c r="F33" t="inlineStr"/>
      <c r="G33" t="n">
        <v>54</v>
      </c>
      <c r="H33" t="inlineStr">
        <is>
          <t>JETS</t>
        </is>
      </c>
      <c r="I33" t="inlineStr">
        <is>
          <t>Airlines</t>
        </is>
      </c>
      <c r="J33" t="inlineStr">
        <is>
          <t>Industrials</t>
        </is>
      </c>
      <c r="K33" s="11" t="n">
        <v>-0.1499368672425158</v>
      </c>
    </row>
    <row r="34">
      <c r="A34" t="n">
        <v>4</v>
      </c>
      <c r="B34" t="inlineStr">
        <is>
          <t>IBB</t>
        </is>
      </c>
      <c r="C34" t="inlineStr">
        <is>
          <t>Biotechnology (Market Weight)</t>
        </is>
      </c>
      <c r="D34" t="inlineStr">
        <is>
          <t>Health Care</t>
        </is>
      </c>
      <c r="E34" s="11" t="n">
        <v>0.1456184856870881</v>
      </c>
      <c r="F34" t="inlineStr"/>
      <c r="G34" t="n">
        <v>55</v>
      </c>
      <c r="H34" t="inlineStr">
        <is>
          <t>LIT</t>
        </is>
      </c>
      <c r="I34" t="inlineStr">
        <is>
          <t>Lithium &amp; Battery Tech</t>
        </is>
      </c>
      <c r="J34" t="inlineStr">
        <is>
          <t>Materials</t>
        </is>
      </c>
      <c r="K34" s="11" t="n">
        <v>-0.1432459036674427</v>
      </c>
    </row>
    <row r="35">
      <c r="A35" t="n">
        <v>5</v>
      </c>
      <c r="B35" t="inlineStr">
        <is>
          <t>FCG</t>
        </is>
      </c>
      <c r="C35" t="inlineStr">
        <is>
          <t>Natural Gas Producers</t>
        </is>
      </c>
      <c r="D35" t="inlineStr">
        <is>
          <t>Energy</t>
        </is>
      </c>
      <c r="E35" s="11" t="n">
        <v>0.1421880355965062</v>
      </c>
      <c r="F35" t="inlineStr"/>
      <c r="G35" t="n">
        <v>56</v>
      </c>
      <c r="H35" t="inlineStr">
        <is>
          <t>XAR</t>
        </is>
      </c>
      <c r="I35" t="inlineStr">
        <is>
          <t>Aerospace &amp; Defense (Equal Weight)</t>
        </is>
      </c>
      <c r="J35" t="inlineStr">
        <is>
          <t>Industrials</t>
        </is>
      </c>
      <c r="K35" s="11" t="n">
        <v>-0.1344505628105548</v>
      </c>
    </row>
    <row r="36">
      <c r="A36" t="n">
        <v>6</v>
      </c>
      <c r="B36" t="inlineStr">
        <is>
          <t>CLOU</t>
        </is>
      </c>
      <c r="C36" t="inlineStr">
        <is>
          <t>Cloud Computing &amp; SaaS</t>
        </is>
      </c>
      <c r="D36" t="inlineStr">
        <is>
          <t>Technology</t>
        </is>
      </c>
      <c r="E36" s="11" t="n">
        <v>0.1275653934660608</v>
      </c>
      <c r="F36" t="inlineStr"/>
      <c r="G36" t="n">
        <v>57</v>
      </c>
      <c r="H36" t="inlineStr">
        <is>
          <t>ICLN</t>
        </is>
      </c>
      <c r="I36" t="inlineStr">
        <is>
          <t>Clean &amp; Renewable Energy</t>
        </is>
      </c>
      <c r="J36" t="inlineStr">
        <is>
          <t>Energy</t>
        </is>
      </c>
      <c r="K36" s="11" t="n">
        <v>-0.1335596857095331</v>
      </c>
    </row>
    <row r="37">
      <c r="A37" t="n">
        <v>7</v>
      </c>
      <c r="B37" t="inlineStr">
        <is>
          <t>CIBR</t>
        </is>
      </c>
      <c r="C37" t="inlineStr">
        <is>
          <t>Cybersecurity Leaders</t>
        </is>
      </c>
      <c r="D37" t="inlineStr">
        <is>
          <t>Technology</t>
        </is>
      </c>
      <c r="E37" s="11" t="n">
        <v>0.1223385235110703</v>
      </c>
      <c r="F37" t="inlineStr"/>
      <c r="G37" t="n">
        <v>58</v>
      </c>
      <c r="H37" t="inlineStr">
        <is>
          <t>BETZ</t>
        </is>
      </c>
      <c r="I37" t="inlineStr">
        <is>
          <t>Casinos, Gaming &amp; Sports Betting</t>
        </is>
      </c>
      <c r="J37" t="inlineStr">
        <is>
          <t>Consumer Discretionary</t>
        </is>
      </c>
      <c r="K37" s="11" t="n">
        <v>-0.1308892490005513</v>
      </c>
    </row>
    <row r="38">
      <c r="A38" t="n">
        <v>8</v>
      </c>
      <c r="B38" t="inlineStr">
        <is>
          <t>IGV</t>
        </is>
      </c>
      <c r="C38" t="inlineStr">
        <is>
          <t>Software &amp; Cloud Applications</t>
        </is>
      </c>
      <c r="D38" t="inlineStr">
        <is>
          <t>Technology</t>
        </is>
      </c>
      <c r="E38" s="11" t="n">
        <v>0.1176723142666329</v>
      </c>
      <c r="F38" t="inlineStr"/>
      <c r="G38" t="n">
        <v>59</v>
      </c>
      <c r="H38" t="inlineStr">
        <is>
          <t>AWAY</t>
        </is>
      </c>
      <c r="I38" t="inlineStr">
        <is>
          <t>Travel Tech &amp; Bookings</t>
        </is>
      </c>
      <c r="J38" t="inlineStr">
        <is>
          <t>Consumer Discretionary</t>
        </is>
      </c>
      <c r="K38" s="11" t="n">
        <v>-0.1270088463794392</v>
      </c>
    </row>
    <row r="39">
      <c r="A39" t="n">
        <v>9</v>
      </c>
      <c r="B39" t="inlineStr">
        <is>
          <t>OIH</t>
        </is>
      </c>
      <c r="C39" t="inlineStr">
        <is>
          <t>Oil Services &amp; Equipment</t>
        </is>
      </c>
      <c r="D39" t="inlineStr">
        <is>
          <t>Energy</t>
        </is>
      </c>
      <c r="E39" s="11" t="n">
        <v>0.09509624571982078</v>
      </c>
      <c r="F39" t="inlineStr"/>
      <c r="G39" t="n">
        <v>60</v>
      </c>
      <c r="H39" t="inlineStr">
        <is>
          <t>ITA</t>
        </is>
      </c>
      <c r="I39" t="inlineStr">
        <is>
          <t>Aerospace &amp; Defense</t>
        </is>
      </c>
      <c r="J39" t="inlineStr">
        <is>
          <t>Industrials</t>
        </is>
      </c>
      <c r="K39" s="11" t="n">
        <v>-0.118199568412097</v>
      </c>
    </row>
    <row r="40">
      <c r="A40" t="n">
        <v>10</v>
      </c>
      <c r="B40" t="inlineStr">
        <is>
          <t>IHF</t>
        </is>
      </c>
      <c r="C40" t="inlineStr">
        <is>
          <t>Health Care Providers &amp; Managed Care</t>
        </is>
      </c>
      <c r="D40" t="inlineStr">
        <is>
          <t>Health Care</t>
        </is>
      </c>
      <c r="E40" s="11" t="n">
        <v>0.05863659123689446</v>
      </c>
      <c r="F40" t="inlineStr"/>
      <c r="G40" t="n">
        <v>61</v>
      </c>
      <c r="H40" t="inlineStr">
        <is>
          <t>COPX</t>
        </is>
      </c>
      <c r="I40" t="inlineStr">
        <is>
          <t>Copper Miners</t>
        </is>
      </c>
      <c r="J40" t="inlineStr">
        <is>
          <t>Materials</t>
        </is>
      </c>
      <c r="K40" s="11" t="n">
        <v>-0.0948427788116647</v>
      </c>
    </row>
    <row r="41"/>
    <row r="42"/>
    <row r="43">
      <c r="A43" s="9">
        <f>== PAST 6 MONTHS LEADERS &amp; LAGGARDS ===</f>
        <v/>
      </c>
    </row>
    <row r="44">
      <c r="A44" s="10" t="inlineStr">
        <is>
          <t>Top 10 - Rank</t>
        </is>
      </c>
      <c r="B44" s="10" t="inlineStr">
        <is>
          <t>Top 10 - Ticker</t>
        </is>
      </c>
      <c r="C44" s="10" t="inlineStr">
        <is>
          <t>Top 10 - Subgroup Name</t>
        </is>
      </c>
      <c r="D44" s="10" t="inlineStr">
        <is>
          <t>Top 10 - Sector</t>
        </is>
      </c>
      <c r="E44" s="10" t="inlineStr">
        <is>
          <t>Top 10 - 6M</t>
        </is>
      </c>
      <c r="F44" t="inlineStr"/>
      <c r="G44" s="10" t="inlineStr">
        <is>
          <t>Bottom 10 - Rank</t>
        </is>
      </c>
      <c r="H44" s="10" t="inlineStr">
        <is>
          <t>Bottom 10 - Ticker</t>
        </is>
      </c>
      <c r="I44" s="10" t="inlineStr">
        <is>
          <t>Bottom 10 - Subgroup Name</t>
        </is>
      </c>
      <c r="J44" s="10" t="inlineStr">
        <is>
          <t>Bottom 10 - Sector</t>
        </is>
      </c>
      <c r="K44" s="10" t="inlineStr">
        <is>
          <t>Bottom 10 - 6M</t>
        </is>
      </c>
    </row>
    <row r="45">
      <c r="A45" t="n">
        <v>1</v>
      </c>
      <c r="B45" t="inlineStr">
        <is>
          <t>HACK</t>
        </is>
      </c>
      <c r="C45" t="inlineStr">
        <is>
          <t>Cybersecurity</t>
        </is>
      </c>
      <c r="D45" t="inlineStr">
        <is>
          <t>Technology</t>
        </is>
      </c>
      <c r="E45" s="11" t="n">
        <v>0.5705993844883674</v>
      </c>
      <c r="F45" t="inlineStr"/>
      <c r="G45" t="n">
        <v>52</v>
      </c>
      <c r="H45" t="inlineStr">
        <is>
          <t>URA</t>
        </is>
      </c>
      <c r="I45" t="inlineStr">
        <is>
          <t>Uranium &amp; Nuclear Energy</t>
        </is>
      </c>
      <c r="J45" t="inlineStr">
        <is>
          <t>Energy</t>
        </is>
      </c>
      <c r="K45" s="11" t="n">
        <v>-0.4021623424865336</v>
      </c>
    </row>
    <row r="46">
      <c r="A46" t="n">
        <v>2</v>
      </c>
      <c r="B46" t="inlineStr">
        <is>
          <t>CIBR</t>
        </is>
      </c>
      <c r="C46" t="inlineStr">
        <is>
          <t>Cybersecurity Leaders</t>
        </is>
      </c>
      <c r="D46" t="inlineStr">
        <is>
          <t>Technology</t>
        </is>
      </c>
      <c r="E46" s="11" t="n">
        <v>0.4991816441949495</v>
      </c>
      <c r="F46" t="inlineStr"/>
      <c r="G46" t="n">
        <v>53</v>
      </c>
      <c r="H46" t="inlineStr">
        <is>
          <t>LIT</t>
        </is>
      </c>
      <c r="I46" t="inlineStr">
        <is>
          <t>Lithium &amp; Battery Tech</t>
        </is>
      </c>
      <c r="J46" t="inlineStr">
        <is>
          <t>Materials</t>
        </is>
      </c>
      <c r="K46" s="11" t="n">
        <v>-0.3192757510058797</v>
      </c>
    </row>
    <row r="47">
      <c r="A47" t="n">
        <v>3</v>
      </c>
      <c r="B47" t="inlineStr">
        <is>
          <t>IDNA</t>
        </is>
      </c>
      <c r="C47" t="inlineStr">
        <is>
          <t>Genomics &amp; Immunology</t>
        </is>
      </c>
      <c r="D47" t="inlineStr">
        <is>
          <t>Health Care</t>
        </is>
      </c>
      <c r="E47" s="11" t="n">
        <v>0.4610513144281607</v>
      </c>
      <c r="F47" t="inlineStr"/>
      <c r="G47" t="n">
        <v>54</v>
      </c>
      <c r="H47" t="inlineStr">
        <is>
          <t>TAN</t>
        </is>
      </c>
      <c r="I47" t="inlineStr">
        <is>
          <t>Solar Energy</t>
        </is>
      </c>
      <c r="J47" t="inlineStr">
        <is>
          <t>Energy</t>
        </is>
      </c>
      <c r="K47" s="11" t="n">
        <v>-0.3117616697833199</v>
      </c>
    </row>
    <row r="48">
      <c r="A48" t="n">
        <v>4</v>
      </c>
      <c r="B48" t="inlineStr">
        <is>
          <t>CLOU</t>
        </is>
      </c>
      <c r="C48" t="inlineStr">
        <is>
          <t>Cloud Computing &amp; SaaS</t>
        </is>
      </c>
      <c r="D48" t="inlineStr">
        <is>
          <t>Technology</t>
        </is>
      </c>
      <c r="E48" s="11" t="n">
        <v>0.4031047281521898</v>
      </c>
      <c r="F48" t="inlineStr"/>
      <c r="G48" t="n">
        <v>55</v>
      </c>
      <c r="H48" t="inlineStr">
        <is>
          <t>ICLN</t>
        </is>
      </c>
      <c r="I48" t="inlineStr">
        <is>
          <t>Clean &amp; Renewable Energy</t>
        </is>
      </c>
      <c r="J48" t="inlineStr">
        <is>
          <t>Energy</t>
        </is>
      </c>
      <c r="K48" s="11" t="n">
        <v>-0.2609007217379462</v>
      </c>
    </row>
    <row r="49">
      <c r="A49" t="n">
        <v>5</v>
      </c>
      <c r="B49" t="inlineStr">
        <is>
          <t>IBB</t>
        </is>
      </c>
      <c r="C49" t="inlineStr">
        <is>
          <t>Biotechnology (Market Weight)</t>
        </is>
      </c>
      <c r="D49" t="inlineStr">
        <is>
          <t>Health Care</t>
        </is>
      </c>
      <c r="E49" s="11" t="n">
        <v>0.290250083234417</v>
      </c>
      <c r="F49" t="inlineStr"/>
      <c r="G49" t="n">
        <v>56</v>
      </c>
      <c r="H49" t="inlineStr">
        <is>
          <t>SIL</t>
        </is>
      </c>
      <c r="I49" t="inlineStr">
        <is>
          <t>Silver Miners</t>
        </is>
      </c>
      <c r="J49" t="inlineStr">
        <is>
          <t>Materials</t>
        </is>
      </c>
      <c r="K49" s="11" t="n">
        <v>-0.1945330698490854</v>
      </c>
    </row>
    <row r="50">
      <c r="A50" t="n">
        <v>6</v>
      </c>
      <c r="B50" t="inlineStr">
        <is>
          <t>IHF</t>
        </is>
      </c>
      <c r="C50" t="inlineStr">
        <is>
          <t>Health Care Providers &amp; Managed Care</t>
        </is>
      </c>
      <c r="D50" t="inlineStr">
        <is>
          <t>Health Care</t>
        </is>
      </c>
      <c r="E50" s="11" t="n">
        <v>0.2462740454206922</v>
      </c>
      <c r="F50" t="inlineStr"/>
      <c r="G50" t="n">
        <v>57</v>
      </c>
      <c r="H50" t="inlineStr">
        <is>
          <t>FAN</t>
        </is>
      </c>
      <c r="I50" t="inlineStr">
        <is>
          <t>Wind Energy</t>
        </is>
      </c>
      <c r="J50" t="inlineStr">
        <is>
          <t>Energy</t>
        </is>
      </c>
      <c r="K50" s="11" t="n">
        <v>-0.1889754623291002</v>
      </c>
    </row>
    <row r="51">
      <c r="A51" t="n">
        <v>7</v>
      </c>
      <c r="B51" t="inlineStr">
        <is>
          <t>IGV</t>
        </is>
      </c>
      <c r="C51" t="inlineStr">
        <is>
          <t>Software &amp; Cloud Applications</t>
        </is>
      </c>
      <c r="D51" t="inlineStr">
        <is>
          <t>Technology</t>
        </is>
      </c>
      <c r="E51" s="11" t="n">
        <v>0.2431122961680363</v>
      </c>
      <c r="F51" t="inlineStr"/>
      <c r="G51" t="n">
        <v>58</v>
      </c>
      <c r="H51" t="inlineStr">
        <is>
          <t>XME</t>
        </is>
      </c>
      <c r="I51" t="inlineStr">
        <is>
          <t>Metals &amp; Mining</t>
        </is>
      </c>
      <c r="J51" t="inlineStr">
        <is>
          <t>Materials</t>
        </is>
      </c>
      <c r="K51" s="11" t="n">
        <v>-0.17499611031244</v>
      </c>
    </row>
    <row r="52">
      <c r="A52" t="n">
        <v>8</v>
      </c>
      <c r="B52" t="inlineStr">
        <is>
          <t>XBI</t>
        </is>
      </c>
      <c r="C52" t="inlineStr">
        <is>
          <t>Biotechnology (Equal Weight)</t>
        </is>
      </c>
      <c r="D52" t="inlineStr">
        <is>
          <t>Health Care</t>
        </is>
      </c>
      <c r="E52" s="11" t="n">
        <v>0.1888610232459473</v>
      </c>
      <c r="F52" t="inlineStr"/>
      <c r="G52" t="n">
        <v>59</v>
      </c>
      <c r="H52" t="inlineStr">
        <is>
          <t>BOTZ</t>
        </is>
      </c>
      <c r="I52" t="inlineStr">
        <is>
          <t>Robotics &amp; Artificial Intelligence</t>
        </is>
      </c>
      <c r="J52" t="inlineStr">
        <is>
          <t>Technology</t>
        </is>
      </c>
      <c r="K52" s="11" t="n">
        <v>-0.161609541174615</v>
      </c>
    </row>
    <row r="53">
      <c r="A53" t="n">
        <v>9</v>
      </c>
      <c r="B53" t="inlineStr">
        <is>
          <t>KBWP</t>
        </is>
      </c>
      <c r="C53" t="inlineStr">
        <is>
          <t>Insurance Underwriters</t>
        </is>
      </c>
      <c r="D53" t="inlineStr">
        <is>
          <t>Financials</t>
        </is>
      </c>
      <c r="E53" s="11" t="n">
        <v>0.1646431270777049</v>
      </c>
      <c r="F53" t="inlineStr"/>
      <c r="G53" t="n">
        <v>60</v>
      </c>
      <c r="H53" t="inlineStr">
        <is>
          <t>XLC</t>
        </is>
      </c>
      <c r="I53" t="inlineStr">
        <is>
          <t>Media &amp; Interactive Media</t>
        </is>
      </c>
      <c r="J53" t="inlineStr">
        <is>
          <t>Communication</t>
        </is>
      </c>
      <c r="K53" s="11" t="n">
        <v>-0.1374989716128253</v>
      </c>
    </row>
    <row r="54">
      <c r="A54" t="n">
        <v>10</v>
      </c>
      <c r="B54" t="inlineStr">
        <is>
          <t>XOP</t>
        </is>
      </c>
      <c r="C54" t="inlineStr">
        <is>
          <t>Oil &amp; Gas Exploration &amp; Production</t>
        </is>
      </c>
      <c r="D54" t="inlineStr">
        <is>
          <t>Energy</t>
        </is>
      </c>
      <c r="E54" s="11" t="n">
        <v>0.1535554010219375</v>
      </c>
      <c r="F54" t="inlineStr"/>
      <c r="G54" t="n">
        <v>61</v>
      </c>
      <c r="H54" t="inlineStr">
        <is>
          <t>BETZ</t>
        </is>
      </c>
      <c r="I54" t="inlineStr">
        <is>
          <t>Casinos, Gaming &amp; Sports Betting</t>
        </is>
      </c>
      <c r="J54" t="inlineStr">
        <is>
          <t>Consumer Discretionary</t>
        </is>
      </c>
      <c r="K54" s="11" t="n">
        <v>-0.1363683359220329</v>
      </c>
    </row>
    <row r="55"/>
    <row r="56"/>
    <row r="57">
      <c r="A57" s="9">
        <f>== PAST 1 YEAR LEADERS &amp; LAGGARDS ===</f>
        <v/>
      </c>
    </row>
    <row r="58">
      <c r="A58" s="10" t="inlineStr">
        <is>
          <t>Top 10 - Rank</t>
        </is>
      </c>
      <c r="B58" s="10" t="inlineStr">
        <is>
          <t>Top 10 - Ticker</t>
        </is>
      </c>
      <c r="C58" s="10" t="inlineStr">
        <is>
          <t>Top 10 - Subgroup Name</t>
        </is>
      </c>
      <c r="D58" s="10" t="inlineStr">
        <is>
          <t>Top 10 - Sector</t>
        </is>
      </c>
      <c r="E58" s="10" t="inlineStr">
        <is>
          <t>Top 10 - 1Y</t>
        </is>
      </c>
      <c r="F58" t="inlineStr"/>
      <c r="G58" s="10" t="inlineStr">
        <is>
          <t>Bottom 10 - Rank</t>
        </is>
      </c>
      <c r="H58" s="10" t="inlineStr">
        <is>
          <t>Bottom 10 - Ticker</t>
        </is>
      </c>
      <c r="I58" s="10" t="inlineStr">
        <is>
          <t>Bottom 10 - Subgroup Name</t>
        </is>
      </c>
      <c r="J58" s="10" t="inlineStr">
        <is>
          <t>Bottom 10 - Sector</t>
        </is>
      </c>
      <c r="K58" s="10" t="inlineStr">
        <is>
          <t>Bottom 10 - 1Y</t>
        </is>
      </c>
    </row>
    <row r="59">
      <c r="A59" t="n">
        <v>1</v>
      </c>
      <c r="B59" t="inlineStr">
        <is>
          <t>IDNA</t>
        </is>
      </c>
      <c r="C59" t="inlineStr">
        <is>
          <t>Genomics &amp; Immunology</t>
        </is>
      </c>
      <c r="D59" t="inlineStr">
        <is>
          <t>Health Care</t>
        </is>
      </c>
      <c r="E59" s="11" t="n">
        <v>0.7133254957519857</v>
      </c>
      <c r="F59" t="inlineStr"/>
      <c r="G59" t="n">
        <v>52</v>
      </c>
      <c r="H59" t="inlineStr">
        <is>
          <t>URA</t>
        </is>
      </c>
      <c r="I59" t="inlineStr">
        <is>
          <t>Uranium &amp; Nuclear Energy</t>
        </is>
      </c>
      <c r="J59" t="inlineStr">
        <is>
          <t>Energy</t>
        </is>
      </c>
      <c r="K59" s="11" t="n">
        <v>-0.371059562830297</v>
      </c>
    </row>
    <row r="60">
      <c r="A60" t="n">
        <v>2</v>
      </c>
      <c r="B60" t="inlineStr">
        <is>
          <t>XOP</t>
        </is>
      </c>
      <c r="C60" t="inlineStr">
        <is>
          <t>Oil &amp; Gas Exploration &amp; Production</t>
        </is>
      </c>
      <c r="D60" t="inlineStr">
        <is>
          <t>Energy</t>
        </is>
      </c>
      <c r="E60" s="11" t="n">
        <v>0.651900080049076</v>
      </c>
      <c r="F60" t="inlineStr"/>
      <c r="G60" t="n">
        <v>53</v>
      </c>
      <c r="H60" t="inlineStr">
        <is>
          <t>FINX</t>
        </is>
      </c>
      <c r="I60" t="inlineStr">
        <is>
          <t>FinTech &amp; Digital Payments</t>
        </is>
      </c>
      <c r="J60" t="inlineStr">
        <is>
          <t>Technology</t>
        </is>
      </c>
      <c r="K60" s="11" t="n">
        <v>-0.2640342591872135</v>
      </c>
    </row>
    <row r="61">
      <c r="A61" t="n">
        <v>3</v>
      </c>
      <c r="B61" t="inlineStr">
        <is>
          <t>FCG</t>
        </is>
      </c>
      <c r="C61" t="inlineStr">
        <is>
          <t>Natural Gas Producers</t>
        </is>
      </c>
      <c r="D61" t="inlineStr">
        <is>
          <t>Energy</t>
        </is>
      </c>
      <c r="E61" s="11" t="n">
        <v>0.516213445910447</v>
      </c>
      <c r="F61" t="inlineStr"/>
      <c r="G61" t="n">
        <v>54</v>
      </c>
      <c r="H61" t="inlineStr">
        <is>
          <t>AWAY</t>
        </is>
      </c>
      <c r="I61" t="inlineStr">
        <is>
          <t>Travel Tech &amp; Bookings</t>
        </is>
      </c>
      <c r="J61" t="inlineStr">
        <is>
          <t>Consumer Discretionary</t>
        </is>
      </c>
      <c r="K61" s="11" t="n">
        <v>-0.2114258715257092</v>
      </c>
    </row>
    <row r="62">
      <c r="A62" t="n">
        <v>4</v>
      </c>
      <c r="B62" t="inlineStr">
        <is>
          <t>BDRY</t>
        </is>
      </c>
      <c r="C62" t="inlineStr">
        <is>
          <t>Dry Bulk Shipping &amp; Maritime Freight</t>
        </is>
      </c>
      <c r="D62" t="inlineStr">
        <is>
          <t>Industrials</t>
        </is>
      </c>
      <c r="E62" s="11" t="n">
        <v>0.4775757067131274</v>
      </c>
      <c r="F62" t="inlineStr"/>
      <c r="G62" t="n">
        <v>55</v>
      </c>
      <c r="H62" t="inlineStr">
        <is>
          <t>BETZ</t>
        </is>
      </c>
      <c r="I62" t="inlineStr">
        <is>
          <t>Casinos, Gaming &amp; Sports Betting</t>
        </is>
      </c>
      <c r="J62" t="inlineStr">
        <is>
          <t>Consumer Discretionary</t>
        </is>
      </c>
      <c r="K62" s="11" t="n">
        <v>-0.1796575231596015</v>
      </c>
    </row>
    <row r="63">
      <c r="A63" t="n">
        <v>5</v>
      </c>
      <c r="B63" t="inlineStr">
        <is>
          <t>OIH</t>
        </is>
      </c>
      <c r="C63" t="inlineStr">
        <is>
          <t>Oil Services &amp; Equipment</t>
        </is>
      </c>
      <c r="D63" t="inlineStr">
        <is>
          <t>Energy</t>
        </is>
      </c>
      <c r="E63" s="11" t="n">
        <v>0.4611727063090019</v>
      </c>
      <c r="F63" t="inlineStr"/>
      <c r="G63" t="n">
        <v>56</v>
      </c>
      <c r="H63" t="inlineStr">
        <is>
          <t>TAN</t>
        </is>
      </c>
      <c r="I63" t="inlineStr">
        <is>
          <t>Solar Energy</t>
        </is>
      </c>
      <c r="J63" t="inlineStr">
        <is>
          <t>Energy</t>
        </is>
      </c>
      <c r="K63" s="11" t="n">
        <v>-0.1577623895142419</v>
      </c>
    </row>
    <row r="64">
      <c r="A64" t="n">
        <v>6</v>
      </c>
      <c r="B64" t="inlineStr">
        <is>
          <t>HACK</t>
        </is>
      </c>
      <c r="C64" t="inlineStr">
        <is>
          <t>Cybersecurity</t>
        </is>
      </c>
      <c r="D64" t="inlineStr">
        <is>
          <t>Technology</t>
        </is>
      </c>
      <c r="E64" s="11" t="n">
        <v>0.4467107026764161</v>
      </c>
      <c r="F64" t="inlineStr"/>
      <c r="G64" t="n">
        <v>57</v>
      </c>
      <c r="H64" t="inlineStr">
        <is>
          <t>BOTZ</t>
        </is>
      </c>
      <c r="I64" t="inlineStr">
        <is>
          <t>Robotics &amp; Artificial Intelligence</t>
        </is>
      </c>
      <c r="J64" t="inlineStr">
        <is>
          <t>Technology</t>
        </is>
      </c>
      <c r="K64" s="11" t="n">
        <v>-0.1344658003891803</v>
      </c>
    </row>
    <row r="65">
      <c r="A65" t="n">
        <v>7</v>
      </c>
      <c r="B65" t="inlineStr">
        <is>
          <t>SMH</t>
        </is>
      </c>
      <c r="C65" t="inlineStr">
        <is>
          <t>Semiconductor Manufacturers</t>
        </is>
      </c>
      <c r="D65" t="inlineStr">
        <is>
          <t>Technology</t>
        </is>
      </c>
      <c r="E65" s="11" t="n">
        <v>0.4409472556783378</v>
      </c>
      <c r="F65" t="inlineStr"/>
      <c r="G65" t="n">
        <v>58</v>
      </c>
      <c r="H65" t="inlineStr">
        <is>
          <t>XLC</t>
        </is>
      </c>
      <c r="I65" t="inlineStr">
        <is>
          <t>Media &amp; Interactive Media</t>
        </is>
      </c>
      <c r="J65" t="inlineStr">
        <is>
          <t>Communication</t>
        </is>
      </c>
      <c r="K65" s="11" t="n">
        <v>-0.1153163501944074</v>
      </c>
    </row>
    <row r="66">
      <c r="A66" t="n">
        <v>8</v>
      </c>
      <c r="B66" t="inlineStr">
        <is>
          <t>XBI</t>
        </is>
      </c>
      <c r="C66" t="inlineStr">
        <is>
          <t>Biotechnology (Equal Weight)</t>
        </is>
      </c>
      <c r="D66" t="inlineStr">
        <is>
          <t>Health Care</t>
        </is>
      </c>
      <c r="E66" s="11" t="n">
        <v>0.3997823021418412</v>
      </c>
      <c r="F66" t="inlineStr"/>
      <c r="G66" t="n">
        <v>59</v>
      </c>
      <c r="H66" t="inlineStr">
        <is>
          <t>IHI</t>
        </is>
      </c>
      <c r="I66" t="inlineStr">
        <is>
          <t>Medical Devices &amp; Equipment</t>
        </is>
      </c>
      <c r="J66" t="inlineStr">
        <is>
          <t>Health Care</t>
        </is>
      </c>
      <c r="K66" s="11" t="n">
        <v>-0.09613418841920196</v>
      </c>
    </row>
    <row r="67">
      <c r="A67" t="n">
        <v>9</v>
      </c>
      <c r="B67" t="inlineStr">
        <is>
          <t>IBB</t>
        </is>
      </c>
      <c r="C67" t="inlineStr">
        <is>
          <t>Biotechnology (Market Weight)</t>
        </is>
      </c>
      <c r="D67" t="inlineStr">
        <is>
          <t>Health Care</t>
        </is>
      </c>
      <c r="E67" s="11" t="n">
        <v>0.3860967621917866</v>
      </c>
      <c r="F67" t="inlineStr"/>
      <c r="G67" t="n">
        <v>60</v>
      </c>
      <c r="H67" t="inlineStr">
        <is>
          <t>ICLN</t>
        </is>
      </c>
      <c r="I67" t="inlineStr">
        <is>
          <t>Clean &amp; Renewable Energy</t>
        </is>
      </c>
      <c r="J67" t="inlineStr">
        <is>
          <t>Energy</t>
        </is>
      </c>
      <c r="K67" s="11" t="n">
        <v>-0.09157203650801304</v>
      </c>
    </row>
    <row r="68">
      <c r="A68" t="n">
        <v>10</v>
      </c>
      <c r="B68" t="inlineStr">
        <is>
          <t>NXTG</t>
        </is>
      </c>
      <c r="C68" t="inlineStr">
        <is>
          <t>NextGen 5G &amp; Telecom Infrastructure</t>
        </is>
      </c>
      <c r="D68" t="inlineStr">
        <is>
          <t>Communication</t>
        </is>
      </c>
      <c r="E68" s="11" t="n">
        <v>0.3425311538798426</v>
      </c>
      <c r="F68" t="inlineStr"/>
      <c r="G68" t="n">
        <v>61</v>
      </c>
      <c r="H68" t="inlineStr">
        <is>
          <t>IGV</t>
        </is>
      </c>
      <c r="I68" t="inlineStr">
        <is>
          <t>Software &amp; Cloud Applications</t>
        </is>
      </c>
      <c r="J68" t="inlineStr">
        <is>
          <t>Technology</t>
        </is>
      </c>
      <c r="K68" s="11" t="n">
        <v>-0.0847630835468518</v>
      </c>
    </row>
    <row r="69"/>
    <row r="70"/>
    <row r="71">
      <c r="A71" s="9">
        <f>== PAST 3 YEARS LEADERS &amp; LAGGARDS ===</f>
        <v/>
      </c>
    </row>
    <row r="72">
      <c r="A72" s="10" t="inlineStr">
        <is>
          <t>Top 10 - Rank</t>
        </is>
      </c>
      <c r="B72" s="10" t="inlineStr">
        <is>
          <t>Top 10 - Ticker</t>
        </is>
      </c>
      <c r="C72" s="10" t="inlineStr">
        <is>
          <t>Top 10 - Subgroup Name</t>
        </is>
      </c>
      <c r="D72" s="10" t="inlineStr">
        <is>
          <t>Top 10 - Sector</t>
        </is>
      </c>
      <c r="E72" s="10" t="inlineStr">
        <is>
          <t>Top 10 - 3Y</t>
        </is>
      </c>
      <c r="F72" t="inlineStr"/>
      <c r="G72" s="10" t="inlineStr">
        <is>
          <t>Bottom 10 - Rank</t>
        </is>
      </c>
      <c r="H72" s="10" t="inlineStr">
        <is>
          <t>Bottom 10 - Ticker</t>
        </is>
      </c>
      <c r="I72" s="10" t="inlineStr">
        <is>
          <t>Bottom 10 - Subgroup Name</t>
        </is>
      </c>
      <c r="J72" s="10" t="inlineStr">
        <is>
          <t>Bottom 10 - Sector</t>
        </is>
      </c>
      <c r="K72" s="10" t="inlineStr">
        <is>
          <t>Bottom 10 - 3Y</t>
        </is>
      </c>
    </row>
    <row r="73">
      <c r="A73" t="n">
        <v>1</v>
      </c>
      <c r="B73" t="inlineStr">
        <is>
          <t>SMH</t>
        </is>
      </c>
      <c r="C73" t="inlineStr">
        <is>
          <t>Semiconductor Manufacturers</t>
        </is>
      </c>
      <c r="D73" t="inlineStr">
        <is>
          <t>Technology</t>
        </is>
      </c>
      <c r="E73" s="11" t="n">
        <v>2.838880042117706</v>
      </c>
      <c r="F73" t="inlineStr"/>
      <c r="G73" t="n">
        <v>52</v>
      </c>
      <c r="H73" t="inlineStr">
        <is>
          <t>WOOD</t>
        </is>
      </c>
      <c r="I73" t="inlineStr">
        <is>
          <t>Timber &amp; Forestry</t>
        </is>
      </c>
      <c r="J73" t="inlineStr">
        <is>
          <t>Materials</t>
        </is>
      </c>
      <c r="K73" s="11" t="n">
        <v>-0.02282946705692135</v>
      </c>
    </row>
    <row r="74">
      <c r="A74" t="n">
        <v>2</v>
      </c>
      <c r="B74" t="inlineStr">
        <is>
          <t>SIL</t>
        </is>
      </c>
      <c r="C74" t="inlineStr">
        <is>
          <t>Silver Miners</t>
        </is>
      </c>
      <c r="D74" t="inlineStr">
        <is>
          <t>Materials</t>
        </is>
      </c>
      <c r="E74" s="11" t="n">
        <v>2.013629515490469</v>
      </c>
      <c r="F74" t="inlineStr"/>
      <c r="G74" t="n">
        <v>53</v>
      </c>
      <c r="H74" t="inlineStr">
        <is>
          <t>TAN</t>
        </is>
      </c>
      <c r="I74" t="inlineStr">
        <is>
          <t>Solar Energy</t>
        </is>
      </c>
      <c r="J74" t="inlineStr">
        <is>
          <t>Energy</t>
        </is>
      </c>
      <c r="K74" s="11" t="n">
        <v>-0.02209843444831727</v>
      </c>
    </row>
    <row r="75">
      <c r="A75" t="n">
        <v>3</v>
      </c>
      <c r="B75" t="inlineStr">
        <is>
          <t>GDX</t>
        </is>
      </c>
      <c r="C75" t="inlineStr">
        <is>
          <t>Gold Miners</t>
        </is>
      </c>
      <c r="D75" t="inlineStr">
        <is>
          <t>Materials</t>
        </is>
      </c>
      <c r="E75" s="11" t="n">
        <v>1.775512502467875</v>
      </c>
      <c r="F75" t="inlineStr"/>
      <c r="G75" t="n">
        <v>54</v>
      </c>
      <c r="H75" t="inlineStr">
        <is>
          <t>AWAY</t>
        </is>
      </c>
      <c r="I75" t="inlineStr">
        <is>
          <t>Travel Tech &amp; Bookings</t>
        </is>
      </c>
      <c r="J75" t="inlineStr">
        <is>
          <t>Consumer Discretionary</t>
        </is>
      </c>
      <c r="K75" s="11" t="n">
        <v>0.1004359486304267</v>
      </c>
    </row>
    <row r="76">
      <c r="A76" t="n">
        <v>4</v>
      </c>
      <c r="B76" t="inlineStr">
        <is>
          <t>XSD</t>
        </is>
      </c>
      <c r="C76" t="inlineStr">
        <is>
          <t>Semiconductors - Equal Weight</t>
        </is>
      </c>
      <c r="D76" t="inlineStr">
        <is>
          <t>Technology</t>
        </is>
      </c>
      <c r="E76" s="11" t="n">
        <v>1.730751517295337</v>
      </c>
      <c r="F76" t="inlineStr"/>
      <c r="G76" t="n">
        <v>55</v>
      </c>
      <c r="H76" t="inlineStr">
        <is>
          <t>BIZD</t>
        </is>
      </c>
      <c r="I76" t="inlineStr">
        <is>
          <t>Business Development Companies (BDCs)</t>
        </is>
      </c>
      <c r="J76" t="inlineStr">
        <is>
          <t>Financials</t>
        </is>
      </c>
      <c r="K76" s="11" t="n">
        <v>0.1726744176075681</v>
      </c>
    </row>
    <row r="77">
      <c r="A77" t="n">
        <v>5</v>
      </c>
      <c r="B77" t="inlineStr">
        <is>
          <t>IDNA</t>
        </is>
      </c>
      <c r="C77" t="inlineStr">
        <is>
          <t>Genomics &amp; Immunology</t>
        </is>
      </c>
      <c r="D77" t="inlineStr">
        <is>
          <t>Health Care</t>
        </is>
      </c>
      <c r="E77" s="11" t="n">
        <v>1.49547418459129</v>
      </c>
      <c r="F77" t="inlineStr"/>
      <c r="G77" t="n">
        <v>56</v>
      </c>
      <c r="H77" t="inlineStr">
        <is>
          <t>BETZ</t>
        </is>
      </c>
      <c r="I77" t="inlineStr">
        <is>
          <t>Casinos, Gaming &amp; Sports Betting</t>
        </is>
      </c>
      <c r="J77" t="inlineStr">
        <is>
          <t>Consumer Discretionary</t>
        </is>
      </c>
      <c r="K77" s="11" t="n">
        <v>0.2071717291393429</v>
      </c>
    </row>
    <row r="78">
      <c r="A78" t="n">
        <v>6</v>
      </c>
      <c r="B78" t="inlineStr">
        <is>
          <t>HACK</t>
        </is>
      </c>
      <c r="C78" t="inlineStr">
        <is>
          <t>Cybersecurity</t>
        </is>
      </c>
      <c r="D78" t="inlineStr">
        <is>
          <t>Technology</t>
        </is>
      </c>
      <c r="E78" s="11" t="n">
        <v>1.490893359376372</v>
      </c>
      <c r="F78" t="inlineStr"/>
      <c r="G78" t="n">
        <v>57</v>
      </c>
      <c r="H78" t="inlineStr">
        <is>
          <t>PBJ</t>
        </is>
      </c>
      <c r="I78" t="inlineStr">
        <is>
          <t>Food &amp; Beverage Manufacturers</t>
        </is>
      </c>
      <c r="J78" t="inlineStr">
        <is>
          <t>Consumer Staples</t>
        </is>
      </c>
      <c r="K78" s="11" t="n">
        <v>0.2145076068191156</v>
      </c>
    </row>
    <row r="79">
      <c r="A79" t="n">
        <v>7</v>
      </c>
      <c r="B79" t="inlineStr">
        <is>
          <t>BDRY</t>
        </is>
      </c>
      <c r="C79" t="inlineStr">
        <is>
          <t>Dry Bulk Shipping &amp; Maritime Freight</t>
        </is>
      </c>
      <c r="D79" t="inlineStr">
        <is>
          <t>Industrials</t>
        </is>
      </c>
      <c r="E79" s="11" t="n">
        <v>1.467611222507177</v>
      </c>
      <c r="F79" t="inlineStr"/>
      <c r="G79" t="n">
        <v>58</v>
      </c>
      <c r="H79" t="inlineStr">
        <is>
          <t>IHI</t>
        </is>
      </c>
      <c r="I79" t="inlineStr">
        <is>
          <t>Medical Devices &amp; Equipment</t>
        </is>
      </c>
      <c r="J79" t="inlineStr">
        <is>
          <t>Health Care</t>
        </is>
      </c>
      <c r="K79" s="11" t="n">
        <v>0.2448774133653784</v>
      </c>
    </row>
    <row r="80">
      <c r="A80" t="n">
        <v>8</v>
      </c>
      <c r="B80" t="inlineStr">
        <is>
          <t>XBI</t>
        </is>
      </c>
      <c r="C80" t="inlineStr">
        <is>
          <t>Biotechnology (Equal Weight)</t>
        </is>
      </c>
      <c r="D80" t="inlineStr">
        <is>
          <t>Health Care</t>
        </is>
      </c>
      <c r="E80" s="11" t="n">
        <v>1.407815816772144</v>
      </c>
      <c r="F80" t="inlineStr"/>
      <c r="G80" t="n">
        <v>59</v>
      </c>
      <c r="H80" t="inlineStr">
        <is>
          <t>ICLN</t>
        </is>
      </c>
      <c r="I80" t="inlineStr">
        <is>
          <t>Clean &amp; Renewable Energy</t>
        </is>
      </c>
      <c r="J80" t="inlineStr">
        <is>
          <t>Energy</t>
        </is>
      </c>
      <c r="K80" s="11" t="n">
        <v>0.2455541054594605</v>
      </c>
    </row>
    <row r="81">
      <c r="A81" t="n">
        <v>9</v>
      </c>
      <c r="B81" t="inlineStr">
        <is>
          <t>NXTG</t>
        </is>
      </c>
      <c r="C81" t="inlineStr">
        <is>
          <t>NextGen 5G &amp; Telecom Infrastructure</t>
        </is>
      </c>
      <c r="D81" t="inlineStr">
        <is>
          <t>Communication</t>
        </is>
      </c>
      <c r="E81" s="11" t="n">
        <v>1.337800527804107</v>
      </c>
      <c r="F81" t="inlineStr"/>
      <c r="G81" t="n">
        <v>60</v>
      </c>
      <c r="H81" t="inlineStr">
        <is>
          <t>IHF</t>
        </is>
      </c>
      <c r="I81" t="inlineStr">
        <is>
          <t>Health Care Providers &amp; Managed Care</t>
        </is>
      </c>
      <c r="J81" t="inlineStr">
        <is>
          <t>Health Care</t>
        </is>
      </c>
      <c r="K81" s="11" t="n">
        <v>0.2589228757348834</v>
      </c>
    </row>
    <row r="82">
      <c r="A82" t="n">
        <v>10</v>
      </c>
      <c r="B82" t="inlineStr">
        <is>
          <t>CIBR</t>
        </is>
      </c>
      <c r="C82" t="inlineStr">
        <is>
          <t>Cybersecurity Leaders</t>
        </is>
      </c>
      <c r="D82" t="inlineStr">
        <is>
          <t>Technology</t>
        </is>
      </c>
      <c r="E82" s="11" t="n">
        <v>1.33420972080606</v>
      </c>
      <c r="F82" t="inlineStr"/>
      <c r="G82" t="n">
        <v>61</v>
      </c>
      <c r="H82" t="inlineStr">
        <is>
          <t>LIT</t>
        </is>
      </c>
      <c r="I82" t="inlineStr">
        <is>
          <t>Lithium &amp; Battery Tech</t>
        </is>
      </c>
      <c r="J82" t="inlineStr">
        <is>
          <t>Materials</t>
        </is>
      </c>
      <c r="K82" s="11" t="n">
        <v>0.2788091345414683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2026-10-31T07:25:48Z</dcterms:created>
  <dcterms:modified xmlns:dcterms="http://purl.org/dc/terms/" xmlns:xsi="http://www.w3.org/2001/XMLSchema-instance" xsi:type="dcterms:W3CDTF">2026-10-31T07:25:48Z</dcterms:modified>
</cp:coreProperties>
</file>